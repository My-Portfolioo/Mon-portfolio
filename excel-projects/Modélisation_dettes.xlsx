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D99EA5DE-F60F-422D-ACC9-9EBA7282CBA6}" xr6:coauthVersionLast="47" xr6:coauthVersionMax="47" xr10:uidLastSave="{00000000-0000-0000-0000-000000000000}"/>
  <bookViews>
    <workbookView xWindow="-110" yWindow="-110" windowWidth="19420" windowHeight="10300" firstSheet="3" activeTab="6" xr2:uid="{45EF2103-4E40-46A8-A261-6DFCB3CCAC22}"/>
  </bookViews>
  <sheets>
    <sheet name="Hypothèses" sheetId="2" r:id="rId1"/>
    <sheet name="Ligne de crédit" sheetId="4" r:id="rId2"/>
    <sheet name="Dette Mezzanine" sheetId="5" r:id="rId3"/>
    <sheet name="Prêt Terme B" sheetId="6" r:id="rId4"/>
    <sheet name="Dette senior" sheetId="3" r:id="rId5"/>
    <sheet name="Dette consolidée" sheetId="7" r:id="rId6"/>
    <sheet name="Flux de trésorerie"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8" l="1"/>
  <c r="B6" i="7" a="1"/>
  <c r="B6" i="7" s="1"/>
  <c r="H10" i="6"/>
  <c r="H9" i="6"/>
  <c r="C15" i="7"/>
  <c r="D15" i="7"/>
  <c r="E15" i="7"/>
  <c r="F15" i="7"/>
  <c r="G15" i="7"/>
  <c r="H15" i="7"/>
  <c r="C16" i="7"/>
  <c r="D16" i="7"/>
  <c r="E16" i="7"/>
  <c r="F16" i="7"/>
  <c r="G16" i="7"/>
  <c r="H16" i="7"/>
  <c r="C17" i="7"/>
  <c r="D17" i="7"/>
  <c r="E17" i="7"/>
  <c r="F17" i="7"/>
  <c r="G17" i="7"/>
  <c r="H17" i="7"/>
  <c r="B9" i="8"/>
  <c r="C9" i="8"/>
  <c r="D9" i="8"/>
  <c r="E9" i="8"/>
  <c r="F9" i="8"/>
  <c r="G9" i="8"/>
  <c r="H9" i="8"/>
  <c r="B10" i="8"/>
  <c r="B5" i="8" a="1"/>
  <c r="B5" i="8" s="1"/>
  <c r="C21" i="7"/>
  <c r="D21" i="7" s="1"/>
  <c r="E21" i="7" s="1"/>
  <c r="F21" i="7" s="1"/>
  <c r="G21" i="7" s="1"/>
  <c r="H21" i="7" s="1"/>
  <c r="D7" i="3"/>
  <c r="E7" i="3"/>
  <c r="E11" i="8" s="1"/>
  <c r="F7" i="3"/>
  <c r="F11" i="8" s="1"/>
  <c r="G7" i="3"/>
  <c r="G11" i="8" s="1"/>
  <c r="H7" i="3"/>
  <c r="C7" i="3"/>
  <c r="C11" i="8" s="1"/>
  <c r="B9" i="3"/>
  <c r="B15" i="7" s="1"/>
  <c r="B7" i="3"/>
  <c r="B6" i="3"/>
  <c r="B5" i="3" a="1"/>
  <c r="B5" i="3" s="1"/>
  <c r="C7" i="6"/>
  <c r="D7" i="6"/>
  <c r="E7" i="6"/>
  <c r="F7" i="6"/>
  <c r="G7" i="6"/>
  <c r="H7" i="6"/>
  <c r="B11" i="6"/>
  <c r="B17" i="7" s="1"/>
  <c r="B7" i="6"/>
  <c r="B6" i="6"/>
  <c r="B5" i="6" a="1"/>
  <c r="B5" i="6" s="1"/>
  <c r="B8" i="5"/>
  <c r="B11" i="5" s="1"/>
  <c r="B9" i="7" s="1"/>
  <c r="B7" i="5"/>
  <c r="B16" i="7" s="1"/>
  <c r="B12" i="5"/>
  <c r="B6" i="5"/>
  <c r="B5" i="5" a="1"/>
  <c r="B5" i="5" s="1"/>
  <c r="G9" i="4"/>
  <c r="H9" i="4"/>
  <c r="B5" i="4" a="1"/>
  <c r="B5" i="4" s="1"/>
  <c r="C9" i="4"/>
  <c r="D9" i="4"/>
  <c r="E9" i="4"/>
  <c r="F9" i="4"/>
  <c r="B9" i="4"/>
  <c r="B28" i="2"/>
  <c r="B19" i="2"/>
  <c r="B13" i="2"/>
  <c r="B7" i="2"/>
  <c r="B12" i="8" l="1"/>
  <c r="B13" i="8" s="1"/>
  <c r="D11" i="8"/>
  <c r="B8" i="3"/>
  <c r="B10" i="3"/>
  <c r="C6" i="5"/>
  <c r="B10" i="6"/>
  <c r="B10" i="7" s="1"/>
  <c r="B14" i="8" l="1"/>
  <c r="B15" i="8" s="1"/>
  <c r="B16" i="8" s="1"/>
  <c r="C6" i="3"/>
  <c r="B8" i="7"/>
  <c r="C8" i="5"/>
  <c r="C11" i="5" s="1"/>
  <c r="C7" i="5"/>
  <c r="C12" i="5" s="1"/>
  <c r="B12" i="6"/>
  <c r="C6" i="6"/>
  <c r="C11" i="6" s="1"/>
  <c r="B7" i="4" l="1"/>
  <c r="B8" i="4" s="1"/>
  <c r="C6" i="4" s="1"/>
  <c r="C9" i="7"/>
  <c r="D6" i="5"/>
  <c r="C8" i="3"/>
  <c r="C9" i="3"/>
  <c r="C10" i="3" s="1"/>
  <c r="C10" i="6"/>
  <c r="C10" i="7" s="1"/>
  <c r="C6" i="8" l="1"/>
  <c r="C10" i="8" s="1"/>
  <c r="C12" i="8" s="1"/>
  <c r="C14" i="8" s="1"/>
  <c r="B23" i="7"/>
  <c r="B12" i="4"/>
  <c r="B14" i="7" s="1"/>
  <c r="B18" i="7" s="1"/>
  <c r="B26" i="7" s="1"/>
  <c r="B10" i="4"/>
  <c r="B11" i="4" s="1"/>
  <c r="B7" i="7"/>
  <c r="B11" i="7" s="1"/>
  <c r="B27" i="7" s="1"/>
  <c r="D8" i="5"/>
  <c r="D7" i="5"/>
  <c r="D12" i="5" s="1"/>
  <c r="D11" i="5"/>
  <c r="C8" i="7"/>
  <c r="D6" i="3"/>
  <c r="D6" i="6"/>
  <c r="D11" i="6" s="1"/>
  <c r="C12" i="6"/>
  <c r="C13" i="8" l="1"/>
  <c r="B28" i="7"/>
  <c r="D9" i="7"/>
  <c r="E6" i="5"/>
  <c r="D9" i="3"/>
  <c r="D10" i="3" s="1"/>
  <c r="D8" i="3"/>
  <c r="D10" i="6"/>
  <c r="D10" i="7" s="1"/>
  <c r="C7" i="4" l="1"/>
  <c r="C8" i="4" s="1"/>
  <c r="C12" i="4" s="1"/>
  <c r="C14" i="7" s="1"/>
  <c r="C18" i="7" s="1"/>
  <c r="C15" i="8"/>
  <c r="C16" i="8" s="1"/>
  <c r="D6" i="8" s="1"/>
  <c r="D10" i="8" s="1"/>
  <c r="D12" i="8" s="1"/>
  <c r="D14" i="8" s="1"/>
  <c r="E6" i="3"/>
  <c r="D8" i="7"/>
  <c r="E11" i="5"/>
  <c r="E8" i="5"/>
  <c r="E7" i="5"/>
  <c r="E12" i="5" s="1"/>
  <c r="D12" i="6"/>
  <c r="E6" i="6"/>
  <c r="E11" i="6" s="1"/>
  <c r="C7" i="7" l="1"/>
  <c r="C11" i="7" s="1"/>
  <c r="C27" i="7" s="1"/>
  <c r="D6" i="4"/>
  <c r="C10" i="4"/>
  <c r="C11" i="4" s="1"/>
  <c r="C23" i="7"/>
  <c r="D13" i="8"/>
  <c r="C26" i="7"/>
  <c r="C28" i="7"/>
  <c r="E9" i="7"/>
  <c r="F6" i="5"/>
  <c r="E9" i="3"/>
  <c r="E10" i="3" s="1"/>
  <c r="E8" i="3"/>
  <c r="E10" i="6"/>
  <c r="E10" i="7" s="1"/>
  <c r="D15" i="8" l="1"/>
  <c r="D16" i="8" s="1"/>
  <c r="D7" i="4"/>
  <c r="D8" i="4" s="1"/>
  <c r="E6" i="4" s="1"/>
  <c r="F6" i="3"/>
  <c r="E8" i="7"/>
  <c r="F8" i="5"/>
  <c r="F11" i="5" s="1"/>
  <c r="F9" i="7" s="1"/>
  <c r="F7" i="5"/>
  <c r="F12" i="5" s="1"/>
  <c r="F6" i="6"/>
  <c r="F11" i="6" s="1"/>
  <c r="E12" i="6"/>
  <c r="G6" i="5"/>
  <c r="D23" i="7" l="1"/>
  <c r="E6" i="8"/>
  <c r="E10" i="8" s="1"/>
  <c r="E12" i="8" s="1"/>
  <c r="E13" i="8" s="1"/>
  <c r="D12" i="4"/>
  <c r="D14" i="7" s="1"/>
  <c r="D18" i="7" s="1"/>
  <c r="D26" i="7" s="1"/>
  <c r="D7" i="7"/>
  <c r="D11" i="7" s="1"/>
  <c r="D27" i="7" s="1"/>
  <c r="D10" i="4"/>
  <c r="D11" i="4" s="1"/>
  <c r="F8" i="3"/>
  <c r="F9" i="3"/>
  <c r="F10" i="3" s="1"/>
  <c r="F10" i="6"/>
  <c r="F10" i="7" s="1"/>
  <c r="G7" i="5"/>
  <c r="G12" i="5" s="1"/>
  <c r="G8" i="5"/>
  <c r="G11" i="5" s="1"/>
  <c r="E14" i="8" l="1"/>
  <c r="E7" i="4" s="1"/>
  <c r="E8" i="4" s="1"/>
  <c r="E10" i="4" s="1"/>
  <c r="E11" i="4" s="1"/>
  <c r="D28" i="7"/>
  <c r="H6" i="5"/>
  <c r="H8" i="5" s="1"/>
  <c r="G9" i="7"/>
  <c r="G6" i="3"/>
  <c r="F8" i="7"/>
  <c r="G6" i="6"/>
  <c r="G11" i="6" s="1"/>
  <c r="F12" i="6"/>
  <c r="H7" i="5"/>
  <c r="E15" i="8" l="1"/>
  <c r="E16" i="8" s="1"/>
  <c r="F6" i="8" s="1"/>
  <c r="F10" i="8" s="1"/>
  <c r="F12" i="8" s="1"/>
  <c r="F13" i="8" s="1"/>
  <c r="F6" i="4"/>
  <c r="E7" i="7"/>
  <c r="E11" i="7" s="1"/>
  <c r="E27" i="7" s="1"/>
  <c r="E12" i="4"/>
  <c r="E14" i="7" s="1"/>
  <c r="E18" i="7" s="1"/>
  <c r="H11" i="5"/>
  <c r="H9" i="7" s="1"/>
  <c r="G8" i="3"/>
  <c r="G9" i="3"/>
  <c r="G10" i="3" s="1"/>
  <c r="H10" i="5"/>
  <c r="G10" i="6"/>
  <c r="G12" i="6"/>
  <c r="E23" i="7" l="1"/>
  <c r="F14" i="8"/>
  <c r="E26" i="7"/>
  <c r="E28" i="7"/>
  <c r="H6" i="6"/>
  <c r="H11" i="6" s="1"/>
  <c r="H12" i="6" s="1"/>
  <c r="G10" i="7"/>
  <c r="H12" i="5"/>
  <c r="H11" i="8"/>
  <c r="H6" i="3"/>
  <c r="G8" i="7"/>
  <c r="F7" i="4" l="1"/>
  <c r="F8" i="4" s="1"/>
  <c r="F15" i="8"/>
  <c r="F16" i="8" s="1"/>
  <c r="G6" i="8" s="1"/>
  <c r="G10" i="8" s="1"/>
  <c r="G12" i="8" s="1"/>
  <c r="G14" i="8" s="1"/>
  <c r="H8" i="3"/>
  <c r="H8" i="7" s="1"/>
  <c r="H9" i="3"/>
  <c r="H10" i="3" s="1"/>
  <c r="H10" i="7"/>
  <c r="G13" i="8" l="1"/>
  <c r="G15" i="8" s="1"/>
  <c r="G16" i="8" s="1"/>
  <c r="G23" i="7" s="1"/>
  <c r="F12" i="4"/>
  <c r="F14" i="7" s="1"/>
  <c r="F18" i="7" s="1"/>
  <c r="F10" i="4"/>
  <c r="F11" i="4" s="1"/>
  <c r="G6" i="4"/>
  <c r="F7" i="7"/>
  <c r="F11" i="7" s="1"/>
  <c r="F27" i="7" s="1"/>
  <c r="F23" i="7"/>
  <c r="G7" i="4" l="1"/>
  <c r="G8" i="4" s="1"/>
  <c r="G10" i="4" s="1"/>
  <c r="G11" i="4" s="1"/>
  <c r="F26" i="7"/>
  <c r="F28" i="7"/>
  <c r="H6" i="8"/>
  <c r="H10" i="8" s="1"/>
  <c r="H12" i="8" s="1"/>
  <c r="H13" i="8" s="1"/>
  <c r="G7" i="7" l="1"/>
  <c r="G11" i="7" s="1"/>
  <c r="G27" i="7" s="1"/>
  <c r="H6" i="4"/>
  <c r="G12" i="4"/>
  <c r="G14" i="7" s="1"/>
  <c r="G18" i="7" s="1"/>
  <c r="G26" i="7" s="1"/>
  <c r="H14" i="8"/>
  <c r="H7" i="4" s="1"/>
  <c r="H15" i="8" l="1"/>
  <c r="H16" i="8" s="1"/>
  <c r="H23" i="7" s="1"/>
  <c r="H8" i="4"/>
  <c r="H10" i="4" s="1"/>
  <c r="H11" i="4" s="1"/>
  <c r="G28" i="7"/>
  <c r="H12" i="4" l="1"/>
  <c r="H14" i="7" s="1"/>
  <c r="H18" i="7" s="1"/>
  <c r="H26" i="7" s="1"/>
  <c r="H7" i="7"/>
  <c r="H11" i="7" s="1"/>
  <c r="H27" i="7" s="1"/>
  <c r="H28" i="7"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<sst xmlns="http://schemas.openxmlformats.org/spreadsheetml/2006/main" count="96" uniqueCount="71">
  <si>
    <t>Taux d'intérêt PIK</t>
  </si>
  <si>
    <t>Réserve de trésorerie obligatoire</t>
  </si>
  <si>
    <t>Trésorerie début</t>
  </si>
  <si>
    <t>Flux d'exploitation</t>
  </si>
  <si>
    <t>Flux d'investissement</t>
  </si>
  <si>
    <t>Variation de trésorerie</t>
  </si>
  <si>
    <t>Trésorerie fin</t>
  </si>
  <si>
    <t>Taux de base (EURIBOR 3m)</t>
  </si>
  <si>
    <t>Montant emprunté</t>
  </si>
  <si>
    <t>Taux débiteur</t>
  </si>
  <si>
    <t>Durée (ans)</t>
  </si>
  <si>
    <t>Année</t>
  </si>
  <si>
    <t>Solde début</t>
  </si>
  <si>
    <t>Solde fin</t>
  </si>
  <si>
    <t>Commission de non-utilisation</t>
  </si>
  <si>
    <t>Tirage (+) / Remboursement (-) de l'année</t>
  </si>
  <si>
    <t>Capacité totale (plafond)</t>
  </si>
  <si>
    <t>Part non utilisée</t>
  </si>
  <si>
    <t>Intérêts payés</t>
  </si>
  <si>
    <t>Taux d'intérêt cash</t>
  </si>
  <si>
    <t>Taux global</t>
  </si>
  <si>
    <t>Frais de mise en place</t>
  </si>
  <si>
    <t>Intérêts cash (payés)</t>
  </si>
  <si>
    <t>Intérêts PIK (capitalisés)</t>
  </si>
  <si>
    <t>Remboursement anticipé</t>
  </si>
  <si>
    <t>Remboursement in fine (dernière année)</t>
  </si>
  <si>
    <t>Total cash sorti (intérêts cash + remboursements)</t>
  </si>
  <si>
    <t>Frais d'émission (OID)</t>
  </si>
  <si>
    <t>Amortissement obligatoire (1%)</t>
  </si>
  <si>
    <t>Intérêts</t>
  </si>
  <si>
    <t>Total cash sorti</t>
  </si>
  <si>
    <t>Ligne de crédit</t>
  </si>
  <si>
    <t>Dette senior</t>
  </si>
  <si>
    <t>Term Loan B</t>
  </si>
  <si>
    <t>Dette totale</t>
  </si>
  <si>
    <t>Total intérêts cash</t>
  </si>
  <si>
    <t>EBITDA</t>
  </si>
  <si>
    <t>Disponible avant remboursement</t>
  </si>
  <si>
    <t>Disponible après remboursements obligatoires</t>
  </si>
  <si>
    <t>Sweep (remboursement anticipé)</t>
  </si>
  <si>
    <t>Crédit Renouvelable (Revolver)</t>
  </si>
  <si>
    <t>Dette Senior</t>
  </si>
  <si>
    <t>Amortissement annuel (% du montant initial)</t>
  </si>
  <si>
    <t>Dette Mezzanine</t>
  </si>
  <si>
    <t>Paramètres généraux</t>
  </si>
  <si>
    <t>Taux de sweep (remboursement anticipé)</t>
  </si>
  <si>
    <t>Réserve de trésorerie obligatoire (annuelle)</t>
  </si>
  <si>
    <t xml:space="preserve">Taux de marché </t>
  </si>
  <si>
    <t>Plafond (montant max)</t>
  </si>
  <si>
    <t>Marge</t>
  </si>
  <si>
    <t>Remboursement (amortissement)</t>
  </si>
  <si>
    <t>Total cash sorti (intérêts + remboursement)</t>
  </si>
  <si>
    <t>Soldes de dettes (fin d'année)</t>
  </si>
  <si>
    <t>Dette mezzanine</t>
  </si>
  <si>
    <t>Intérêts cash</t>
  </si>
  <si>
    <t>Dette mezzanine (cash)</t>
  </si>
  <si>
    <t>Données pour ratios</t>
  </si>
  <si>
    <t>CapEx</t>
  </si>
  <si>
    <t>Trésorerie fin d'année</t>
  </si>
  <si>
    <t>Ratios</t>
  </si>
  <si>
    <t>Couverture des intérêts</t>
  </si>
  <si>
    <t>Endettement net / EBITDA</t>
  </si>
  <si>
    <t>DSCR</t>
  </si>
  <si>
    <t>Remboursements obligatoires (dette senior, TLB, mezz in fine)</t>
  </si>
  <si>
    <t>Tirage sur ligne de crédit</t>
  </si>
  <si>
    <t>SUIVI DU CRÉDIT RENOUVELABLE (REVOLVER)</t>
  </si>
  <si>
    <t>DETTE MEZZANINE - Financement hybride avec intérêts capitalisés</t>
  </si>
  <si>
    <t>TERM LOAN B - Dette avec amortissement minimal (1% par an)</t>
  </si>
  <si>
    <t>DETTE SENIOR - Financement bancaire classique amortissable</t>
  </si>
  <si>
    <t>CASCADE DE TRÉSORERIE - Détermine les capacités de remboursement</t>
  </si>
  <si>
    <t>Situation de l'entreprise (contexte du modèle)
Le modèle que nous avons construit simule la structure financière d’une entreprise française industrielle réalisant un chiffre d’affaires stable et disposant d’un EBITDA de 30 M€ en 2026, avec une croissance annuelle de 5 %. Cette société est financée par une combinaison de dettes dans le cadre d’une opération typique de LBO (acquisition par effet de levier). Elle présente un besoin de financement total de 250 M€ réparti comme suit :
Dette senior : 100 M€ (taux EURIBOR + 2 %)
Term Loan B : 75 M€ (taux EURIBOR + 4 %, amortissement 1 % par an)
Dette mezzanine : 50 M€ (taux cash 7 % + PIK 2 %)
Ligne de crédit renouvelable : 25 M€ (plafond, taux EURIBOR + 2,5 %)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</si>
</sst>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74" formatCode="_-* #,##0_-;\-* #,##0_-;_-* &quot;-&quot;??_-;_-@_-"/>
  </numFmts>
  <fonts count="33" x14ac:knownFonts="1">
    <font>
      <sz val="11"/>
      <color theme="1"/>
      <name val="Aptos Narrow"/>
      <family val="2"/>
      <scheme val="minor"/>
    </font>
    <font>
      <sz val="11"/>
      <color theme="1"/>
      <name val="Aptos Narrow"/>
      <family val="2"/>
      <scheme val="minor"/>
    </font>
    <font>
      <sz val="7"/>
      <color rgb="FF61666B"/>
      <name val="Segoe UI"/>
      <family val="2"/>
    </font>
    <font>
      <sz val="11"/>
      <color theme="1"/>
      <name val="Calibri"/>
      <family val="2"/>
    </font>
    <font>
      <sz val="8"/>
      <color rgb="FF0F1115"/>
      <name val="Segoe UI"/>
      <family val="2"/>
    </font>
    <font>
      <sz val="8"/>
      <color rgb="FF0F1115"/>
      <name val="Segoe UI"/>
      <family val="2"/>
    </font>
    <font>
      <sz val="8"/>
      <name val="Aptos Narrow"/>
      <family val="2"/>
      <scheme val="minor"/>
    </font>
    <font>
      <b/>
      <sz val="11"/>
      <color theme="0"/>
      <name val="Calibri"/>
      <family val="2"/>
    </font>
    <font>
      <b/>
      <sz val="9"/>
      <color theme="0"/>
      <name val="Calibri"/>
      <family val="2"/>
    </font>
    <font>
      <b/>
      <sz val="10"/>
      <color theme="0"/>
      <name val="Calibri"/>
      <family val="2"/>
    </font>
    <font>
      <sz val="10"/>
      <color theme="0"/>
      <name val="Segoe UI"/>
      <family val="2"/>
    </font>
    <font>
      <sz val="10"/>
      <color theme="0"/>
      <name val="Calibri"/>
      <family val="2"/>
    </font>
    <font>
      <sz val="10"/>
      <color theme="0"/>
      <name val="Calibri"/>
      <family val="2"/>
    </font>
    <font>
      <sz val="11"/>
      <color theme="0"/>
      <name val="Calibri"/>
      <family val="2"/>
    </font>
    <font>
      <sz val="10"/>
      <name val="Calibri"/>
      <family val="2"/>
    </font>
    <font>
      <sz val="11"/>
      <name val="Calibri"/>
      <family val="2"/>
    </font>
    <font>
      <sz val="10"/>
      <name val="Calibri"/>
      <family val="2"/>
    </font>
    <font>
      <sz val="8"/>
      <name val="Segoe UI"/>
      <family val="2"/>
    </font>
    <font>
      <b/>
      <sz val="10"/>
      <name val="Calibri"/>
      <family val="2"/>
    </font>
    <font>
      <sz val="7"/>
      <name val="Calibri"/>
      <family val="2"/>
    </font>
    <font>
      <b/>
      <sz val="9"/>
      <name val="Calibri"/>
      <family val="2"/>
    </font>
    <font>
      <sz val="8"/>
      <name val="Calibri"/>
      <family val="2"/>
    </font>
    <font>
      <sz val="12"/>
      <color theme="1"/>
      <name val="Calibri"/>
      <family val="2"/>
    </font>
    <font>
      <sz val="12"/>
      <color rgb="FF0F1115"/>
      <name val="Calibri"/>
      <family val="2"/>
    </font>
    <font>
      <sz val="11"/>
      <color rgb="FF0F1115"/>
      <name val="Calibri"/>
      <family val="2"/>
    </font>
    <font>
      <sz val="11"/>
      <color rgb="FF0F1115"/>
      <name val="Calibri"/>
      <family val="2"/>
    </font>
    <font>
      <b/>
      <sz val="11"/>
      <color rgb="FF0F1115"/>
      <name val="Calibri"/>
      <family val="2"/>
    </font>
    <font>
      <b/>
      <sz val="11"/>
      <color theme="1"/>
      <name val="Calibri"/>
      <family val="2"/>
    </font>
    <font>
      <b/>
      <sz val="12"/>
      <color theme="1"/>
      <name val="Calibri"/>
      <family val="2"/>
    </font>
    <font>
      <b/>
      <sz val="12"/>
      <color rgb="FF0F1115"/>
      <name val="Calibri"/>
      <family val="2"/>
    </font>
    <font>
      <sz val="12"/>
      <name val="Calibri"/>
      <family val="2"/>
    </font>
    <font>
      <b/>
      <sz val="12"/>
      <name val="Calibri"/>
      <family val="2"/>
    </font>
    <font>
      <b/>
      <sz val="12"/>
      <color theme="0"/>
      <name val="Calibri"/>
      <family val="2"/>
    </font>
  </fonts>
  <fills count="9">
    <fill>
      <patternFill patternType="none"/>
    </fill>
    <fill>
      <patternFill patternType="gray125"/>
    </fill>
    <fill>
      <patternFill patternType="solid">
        <fgColor theme="3" tint="0.249977111117893"/>
        <bgColor indexed="64"/>
      </patternFill>
    </fill>
    <fill>
      <patternFill patternType="solid">
        <fgColor theme="1"/>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D9E1F2"/>
        <bgColor indexed="64"/>
      </patternFill>
    </fill>
    <fill>
      <patternFill patternType="solid">
        <fgColor theme="2"/>
        <bgColor indexed="64"/>
      </patternFill>
    </fill>
    <fill>
      <patternFill patternType="solid">
        <fgColor theme="8" tint="0.39997558519241921"/>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0" fontId="0" fillId="0" borderId="0" xfId="0" applyNumberFormat="1"/>
    <xf numFmtId="0" fontId="4" fillId="0" borderId="0" xfId="0" applyFont="1"/>
    <xf numFmtId="0" fontId="5" fillId="0" borderId="0" xfId="0" applyFont="1"/>
    <xf numFmtId="0" fontId="3" fillId="0" borderId="0" xfId="0" applyFont="1" applyFill="1"/>
    <xf numFmtId="0" fontId="18" fillId="0" borderId="0" xfId="0" applyFont="1" applyFill="1"/>
    <xf numFmtId="0" fontId="18" fillId="0" borderId="0" xfId="0" applyFont="1"/>
    <xf numFmtId="0" fontId="15" fillId="0" borderId="0" xfId="0" applyFont="1" applyFill="1" applyAlignment="1">
      <alignment horizontal="center" vertical="center"/>
    </xf>
    <xf numFmtId="10" fontId="16" fillId="0" borderId="0" xfId="0" applyNumberFormat="1" applyFont="1" applyFill="1" applyAlignment="1">
      <alignment horizontal="center" vertical="center"/>
    </xf>
    <xf numFmtId="10" fontId="17" fillId="0" borderId="0" xfId="2" applyNumberFormat="1" applyFont="1" applyFill="1" applyAlignment="1">
      <alignment horizontal="center" vertical="center"/>
    </xf>
    <xf numFmtId="9" fontId="14" fillId="0" borderId="0" xfId="0" applyNumberFormat="1" applyFont="1" applyFill="1" applyAlignment="1">
      <alignment horizontal="center" vertical="center"/>
    </xf>
    <xf numFmtId="10" fontId="12" fillId="3" borderId="0" xfId="0" applyNumberFormat="1" applyFont="1" applyFill="1" applyAlignment="1">
      <alignment horizontal="center" vertical="center"/>
    </xf>
    <xf numFmtId="3" fontId="18" fillId="0" borderId="0" xfId="0" applyNumberFormat="1" applyFont="1" applyFill="1" applyAlignment="1">
      <alignment horizontal="center" vertical="center"/>
    </xf>
    <xf numFmtId="10" fontId="19" fillId="0" borderId="0" xfId="0" applyNumberFormat="1" applyFont="1" applyFill="1" applyAlignment="1">
      <alignment horizontal="center" vertical="center"/>
    </xf>
    <xf numFmtId="10" fontId="20" fillId="0" borderId="0" xfId="0" applyNumberFormat="1" applyFont="1" applyFill="1" applyAlignment="1">
      <alignment horizontal="center" vertical="center"/>
    </xf>
    <xf numFmtId="9" fontId="13" fillId="3" borderId="0" xfId="0" applyNumberFormat="1" applyFont="1" applyFill="1" applyAlignment="1">
      <alignment horizontal="center" vertical="center"/>
    </xf>
    <xf numFmtId="10" fontId="15" fillId="0" borderId="0" xfId="0" applyNumberFormat="1" applyFont="1" applyFill="1" applyAlignment="1">
      <alignment horizontal="center" vertical="center"/>
    </xf>
    <xf numFmtId="0" fontId="21" fillId="0" borderId="0" xfId="0" applyFont="1" applyFill="1" applyAlignment="1">
      <alignment horizontal="center" vertical="center"/>
    </xf>
    <xf numFmtId="9" fontId="15" fillId="0" borderId="0" xfId="0" applyNumberFormat="1" applyFont="1" applyFill="1" applyAlignment="1">
      <alignment horizontal="center" vertical="center"/>
    </xf>
    <xf numFmtId="3" fontId="21" fillId="0" borderId="0" xfId="0" applyNumberFormat="1" applyFont="1" applyFill="1" applyAlignment="1">
      <alignment horizontal="center" vertical="center"/>
    </xf>
    <xf numFmtId="10" fontId="21" fillId="0" borderId="0" xfId="0" applyNumberFormat="1" applyFont="1" applyFill="1" applyAlignment="1">
      <alignment horizontal="center" vertical="center"/>
    </xf>
    <xf numFmtId="10" fontId="11" fillId="2" borderId="0" xfId="0" applyNumberFormat="1" applyFont="1" applyFill="1" applyAlignment="1">
      <alignment horizontal="center" vertical="center"/>
    </xf>
    <xf numFmtId="10" fontId="12" fillId="2" borderId="0" xfId="0" applyNumberFormat="1" applyFont="1" applyFill="1" applyAlignment="1">
      <alignment horizontal="center" vertical="center"/>
    </xf>
    <xf numFmtId="9" fontId="9" fillId="2" borderId="0" xfId="0" applyNumberFormat="1" applyFont="1" applyFill="1" applyAlignment="1">
      <alignment horizontal="center" vertical="center"/>
    </xf>
    <xf numFmtId="3" fontId="9" fillId="2" borderId="0" xfId="0" applyNumberFormat="1" applyFont="1" applyFill="1" applyAlignment="1">
      <alignment horizontal="center" vertical="center"/>
    </xf>
    <xf numFmtId="0" fontId="10" fillId="2" borderId="0" xfId="0" applyFont="1" applyFill="1" applyAlignment="1">
      <alignment horizontal="center" vertical="center"/>
    </xf>
    <xf numFmtId="10" fontId="10" fillId="2" borderId="0" xfId="2" applyNumberFormat="1" applyFont="1" applyFill="1" applyAlignment="1">
      <alignment horizontal="center" vertical="center"/>
    </xf>
    <xf numFmtId="0" fontId="9" fillId="2" borderId="0" xfId="0" applyFont="1" applyFill="1" applyAlignment="1">
      <alignment horizontal="center" vertical="center"/>
    </xf>
    <xf numFmtId="0" fontId="8" fillId="2" borderId="0" xfId="0" applyNumberFormat="1" applyFont="1" applyFill="1" applyAlignment="1">
      <alignment horizontal="center" vertical="center"/>
    </xf>
    <xf numFmtId="174" fontId="3" fillId="0" borderId="0" xfId="1" applyNumberFormat="1" applyFont="1"/>
    <xf numFmtId="0" fontId="22" fillId="0" borderId="0" xfId="0" applyFont="1"/>
    <xf numFmtId="0" fontId="23" fillId="0" borderId="0" xfId="0" applyFont="1"/>
    <xf numFmtId="0" fontId="24" fillId="0" borderId="0" xfId="0" applyFont="1"/>
    <xf numFmtId="174" fontId="25" fillId="0" borderId="0" xfId="1" applyNumberFormat="1" applyFont="1"/>
    <xf numFmtId="174" fontId="24" fillId="0" borderId="0" xfId="1" applyNumberFormat="1" applyFont="1"/>
    <xf numFmtId="9" fontId="9" fillId="0" borderId="0" xfId="0" applyNumberFormat="1" applyFont="1" applyFill="1" applyAlignment="1">
      <alignment horizontal="center" vertical="center"/>
    </xf>
    <xf numFmtId="0" fontId="3" fillId="4" borderId="0" xfId="0" applyFont="1" applyFill="1"/>
    <xf numFmtId="0" fontId="0" fillId="4" borderId="0" xfId="0" applyFill="1"/>
    <xf numFmtId="3" fontId="3" fillId="0" borderId="0" xfId="0" applyNumberFormat="1" applyFont="1"/>
    <xf numFmtId="0" fontId="28" fillId="0" borderId="0" xfId="0" applyFont="1"/>
    <xf numFmtId="0" fontId="29" fillId="0" borderId="0" xfId="0" applyFont="1"/>
    <xf numFmtId="3" fontId="24" fillId="0" borderId="0" xfId="0" applyNumberFormat="1" applyFont="1"/>
    <xf numFmtId="3" fontId="23" fillId="0" borderId="0" xfId="0" applyNumberFormat="1" applyFont="1"/>
    <xf numFmtId="0" fontId="30" fillId="0" borderId="0" xfId="0" applyFont="1"/>
    <xf numFmtId="4" fontId="30" fillId="0" borderId="0" xfId="0" applyNumberFormat="1" applyFont="1"/>
    <xf numFmtId="3" fontId="30" fillId="0" borderId="0" xfId="0" applyNumberFormat="1" applyFont="1"/>
    <xf numFmtId="0" fontId="24" fillId="5" borderId="0" xfId="0" applyNumberFormat="1" applyFont="1" applyFill="1"/>
    <xf numFmtId="0" fontId="25" fillId="0" borderId="0" xfId="0" applyNumberFormat="1" applyFont="1"/>
    <xf numFmtId="0" fontId="31" fillId="0" borderId="0" xfId="0" applyFont="1"/>
    <xf numFmtId="0" fontId="31" fillId="6" borderId="0" xfId="0" applyFont="1" applyFill="1"/>
    <xf numFmtId="0" fontId="31" fillId="7" borderId="0" xfId="0" applyFont="1" applyFill="1"/>
    <xf numFmtId="0" fontId="30" fillId="7" borderId="0" xfId="0" applyNumberFormat="1" applyFont="1" applyFill="1"/>
    <xf numFmtId="0" fontId="26" fillId="6" borderId="0" xfId="0" applyFont="1" applyFill="1"/>
    <xf numFmtId="0" fontId="18" fillId="6" borderId="0" xfId="0" applyFont="1" applyFill="1"/>
    <xf numFmtId="0" fontId="24" fillId="6" borderId="0" xfId="0" applyFont="1" applyFill="1"/>
    <xf numFmtId="0" fontId="24" fillId="7" borderId="0" xfId="0" applyFont="1" applyFill="1"/>
    <xf numFmtId="0" fontId="3" fillId="7" borderId="0" xfId="0" applyFont="1" applyFill="1"/>
    <xf numFmtId="0" fontId="27" fillId="7" borderId="0" xfId="0" applyFont="1" applyFill="1"/>
    <xf numFmtId="0" fontId="26" fillId="7" borderId="0" xfId="0" applyFont="1" applyFill="1"/>
    <xf numFmtId="0" fontId="24" fillId="7" borderId="0" xfId="0" applyNumberFormat="1" applyFont="1" applyFill="1"/>
    <xf numFmtId="0" fontId="26" fillId="8" borderId="0" xfId="0" applyFont="1" applyFill="1"/>
    <xf numFmtId="0" fontId="31" fillId="8" borderId="0" xfId="0" applyFont="1" applyFill="1"/>
    <xf numFmtId="0" fontId="24" fillId="8" borderId="0" xfId="0" applyFont="1" applyFill="1"/>
    <xf numFmtId="0" fontId="18" fillId="7" borderId="0" xfId="0" applyFont="1" applyFill="1"/>
    <xf numFmtId="1" fontId="31" fillId="7" borderId="0" xfId="0" applyNumberFormat="1" applyFont="1" applyFill="1"/>
    <xf numFmtId="1" fontId="30" fillId="0" borderId="0" xfId="0" applyNumberFormat="1" applyFont="1"/>
    <xf numFmtId="0" fontId="32" fillId="8" borderId="0" xfId="0" applyFont="1" applyFill="1" applyAlignment="1">
      <alignment horizontal="center" vertical="center"/>
    </xf>
    <xf numFmtId="0" fontId="7" fillId="8" borderId="0" xfId="0" applyFont="1" applyFill="1" applyAlignment="1">
      <alignment horizontal="center" wrapText="1"/>
    </xf>
    <xf numFmtId="0" fontId="32" fillId="8" borderId="0" xfId="0" applyFont="1" applyFill="1" applyAlignment="1">
      <alignment horizontal="center" wrapText="1"/>
    </xf>
    <xf numFmtId="0" fontId="7" fillId="8" borderId="0" xfId="0" applyFont="1" applyFill="1" applyAlignment="1">
      <alignment horizontal="center" vertical="center" wrapText="1"/>
    </xf>
    <xf numFmtId="0" fontId="3" fillId="7" borderId="0" xfId="0" applyFont="1" applyFill="1" applyAlignment="1">
      <alignment horizontal="left" vertical="top" wrapText="1"/>
    </xf>
  </cellXfs>
  <cellStyles count="3">
    <cellStyle name="Milliers" xfId="1" builtinId="3"/>
    <cellStyle name="Normal" xfId="0" builtinId="0"/>
    <cellStyle name="Pourcentage" xfId="2"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Dettes sollicitées</a:t>
            </a:r>
          </a:p>
          <a:p>
            <a:pPr>
              <a:defRPr/>
            </a:pPr>
            <a:endParaRPr lang="fr-F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lotArea>
      <c:layout/>
      <c:barChart>
        <c:barDir val="col"/>
        <c:grouping val="clustered"/>
        <c:varyColors val="0"/>
        <c:ser>
          <c:idx val="0"/>
          <c:order val="0"/>
          <c:tx>
            <c:strRef>
              <c:f>Hypothèses!$A$24</c:f>
              <c:strCache>
                <c:ptCount val="1"/>
                <c:pt idx="0">
                  <c:v>Dette Mezzanine</c:v>
                </c:pt>
              </c:strCache>
            </c:strRef>
          </c:tx>
          <c:spPr>
            <a:solidFill>
              <a:schemeClr val="accent1">
                <a:shade val="58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Hypothèses!$B$25</c:f>
              <c:numCache>
                <c:formatCode>#,##0</c:formatCode>
                <c:ptCount val="1"/>
                <c:pt idx="0">
                  <c:v>50000000</c:v>
                </c:pt>
              </c:numCache>
            </c:numRef>
          </c:val>
          <c:extLst>
            <c:ext xmlns:c16="http://schemas.microsoft.com/office/drawing/2014/chart" uri="{C3380CC4-5D6E-409C-BE32-E72D297353CC}">
              <c16:uniqueId val="{00000000-6996-4FF3-8CD3-8371B9D7691F}"/>
            </c:ext>
          </c:extLst>
        </c:ser>
        <c:ser>
          <c:idx val="1"/>
          <c:order val="1"/>
          <c:tx>
            <c:strRef>
              <c:f>Hypothèses!$A$16</c:f>
              <c:strCache>
                <c:ptCount val="1"/>
                <c:pt idx="0">
                  <c:v>Term Loan B</c:v>
                </c:pt>
              </c:strCache>
            </c:strRef>
          </c:tx>
          <c:spPr>
            <a:solidFill>
              <a:schemeClr val="accent1">
                <a:shade val="8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Hypothèses!$B$17</c:f>
              <c:numCache>
                <c:formatCode>General</c:formatCode>
                <c:ptCount val="1"/>
                <c:pt idx="0">
                  <c:v>75000000</c:v>
                </c:pt>
              </c:numCache>
            </c:numRef>
          </c:val>
          <c:extLst>
            <c:ext xmlns:c16="http://schemas.microsoft.com/office/drawing/2014/chart" uri="{C3380CC4-5D6E-409C-BE32-E72D297353CC}">
              <c16:uniqueId val="{00000001-6996-4FF3-8CD3-8371B9D7691F}"/>
            </c:ext>
          </c:extLst>
        </c:ser>
        <c:ser>
          <c:idx val="2"/>
          <c:order val="2"/>
          <c:tx>
            <c:strRef>
              <c:f>Hypothèses!$A$10</c:f>
              <c:strCache>
                <c:ptCount val="1"/>
                <c:pt idx="0">
                  <c:v>Dette Senior</c:v>
                </c:pt>
              </c:strCache>
            </c:strRef>
          </c:tx>
          <c:spPr>
            <a:solidFill>
              <a:schemeClr val="accent1">
                <a:tint val="8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Hypothèses!$B$11</c:f>
              <c:numCache>
                <c:formatCode>General</c:formatCode>
                <c:ptCount val="1"/>
                <c:pt idx="0">
                  <c:v>100000000</c:v>
                </c:pt>
              </c:numCache>
            </c:numRef>
          </c:val>
          <c:extLst>
            <c:ext xmlns:c16="http://schemas.microsoft.com/office/drawing/2014/chart" uri="{C3380CC4-5D6E-409C-BE32-E72D297353CC}">
              <c16:uniqueId val="{00000002-6996-4FF3-8CD3-8371B9D7691F}"/>
            </c:ext>
          </c:extLst>
        </c:ser>
        <c:ser>
          <c:idx val="3"/>
          <c:order val="3"/>
          <c:tx>
            <c:strRef>
              <c:f>Hypothèses!$A$5</c:f>
              <c:strCache>
                <c:ptCount val="1"/>
                <c:pt idx="0">
                  <c:v>Plafond (montant max)</c:v>
                </c:pt>
              </c:strCache>
            </c:strRef>
          </c:tx>
          <c:spPr>
            <a:solidFill>
              <a:schemeClr val="accent1">
                <a:tint val="58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Hypothèses!$B$5</c:f>
              <c:numCache>
                <c:formatCode>General</c:formatCode>
                <c:ptCount val="1"/>
                <c:pt idx="0">
                  <c:v>25000000</c:v>
                </c:pt>
              </c:numCache>
            </c:numRef>
          </c:val>
          <c:extLst>
            <c:ext xmlns:c16="http://schemas.microsoft.com/office/drawing/2014/chart" uri="{C3380CC4-5D6E-409C-BE32-E72D297353CC}">
              <c16:uniqueId val="{00000003-6996-4FF3-8CD3-8371B9D7691F}"/>
            </c:ext>
          </c:extLst>
        </c:ser>
        <c:dLbls>
          <c:dLblPos val="inEnd"/>
          <c:showLegendKey val="0"/>
          <c:showVal val="1"/>
          <c:showCatName val="0"/>
          <c:showSerName val="0"/>
          <c:showPercent val="0"/>
          <c:showBubbleSize val="0"/>
        </c:dLbls>
        <c:gapWidth val="65"/>
        <c:axId val="302015680"/>
        <c:axId val="302016640"/>
      </c:barChart>
      <c:catAx>
        <c:axId val="302015680"/>
        <c:scaling>
          <c:orientation val="minMax"/>
        </c:scaling>
        <c:delete val="1"/>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majorTickMark val="out"/>
        <c:minorTickMark val="none"/>
        <c:tickLblPos val="nextTo"/>
        <c:crossAx val="302016640"/>
        <c:crosses val="autoZero"/>
        <c:auto val="1"/>
        <c:lblAlgn val="ctr"/>
        <c:lblOffset val="100"/>
        <c:noMultiLvlLbl val="0"/>
      </c:catAx>
      <c:valAx>
        <c:axId val="3020166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Montant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crossAx val="3020156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295275</xdr:colOff>
      <xdr:row>14</xdr:row>
      <xdr:rowOff>44450</xdr:rowOff>
    </xdr:from>
    <xdr:to>
      <xdr:col>6</xdr:col>
      <xdr:colOff>1504950</xdr:colOff>
      <xdr:row>28</xdr:row>
      <xdr:rowOff>63500</xdr:rowOff>
    </xdr:to>
    <xdr:graphicFrame macro="">
      <xdr:nvGraphicFramePr>
        <xdr:cNvPr id="3" name="Graphique 2">
          <a:extLst>
            <a:ext uri="{FF2B5EF4-FFF2-40B4-BE49-F238E27FC236}">
              <a16:creationId xmlns:a16="http://schemas.microsoft.com/office/drawing/2014/main" id="{106948FE-6B2B-6BB5-7E51-4EC48F714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D38CB-3667-47BD-8E0B-809ED4A79B66}">
  <dimension ref="A1:G51"/>
  <sheetViews>
    <sheetView workbookViewId="0">
      <selection activeCell="D2" sqref="D2:G13"/>
    </sheetView>
  </sheetViews>
  <sheetFormatPr baseColWidth="10" defaultRowHeight="14.5" x14ac:dyDescent="0.35"/>
  <cols>
    <col min="1" max="1" width="37.6328125" style="8" customWidth="1"/>
    <col min="2" max="2" width="10.90625" style="9"/>
    <col min="3" max="3" width="15.7265625" style="2" customWidth="1"/>
    <col min="4" max="4" width="22.1796875" style="2" customWidth="1"/>
    <col min="5" max="6" width="10.90625" style="2"/>
    <col min="7" max="7" width="43.08984375" style="2" customWidth="1"/>
    <col min="8" max="16384" width="10.90625" style="2"/>
  </cols>
  <sheetData>
    <row r="1" spans="1:7" x14ac:dyDescent="0.35">
      <c r="A1" s="65" t="s">
        <v>47</v>
      </c>
    </row>
    <row r="2" spans="1:7" ht="14.5" customHeight="1" x14ac:dyDescent="0.35">
      <c r="A2" s="55" t="s">
        <v>7</v>
      </c>
      <c r="B2" s="23">
        <v>2.0299999999999999E-2</v>
      </c>
      <c r="C2" s="5"/>
      <c r="D2" s="72" t="s">
        <v>70</v>
      </c>
      <c r="E2" s="72"/>
      <c r="F2" s="72"/>
      <c r="G2" s="72"/>
    </row>
    <row r="3" spans="1:7" s="6" customFormat="1" x14ac:dyDescent="0.35">
      <c r="A3" s="7"/>
      <c r="B3" s="10"/>
      <c r="D3" s="72"/>
      <c r="E3" s="72"/>
      <c r="F3" s="72"/>
      <c r="G3" s="72"/>
    </row>
    <row r="4" spans="1:7" x14ac:dyDescent="0.35">
      <c r="A4" s="65" t="s">
        <v>40</v>
      </c>
      <c r="B4" s="10"/>
      <c r="D4" s="72"/>
      <c r="E4" s="72"/>
      <c r="F4" s="72"/>
      <c r="G4" s="72"/>
    </row>
    <row r="5" spans="1:7" ht="16" x14ac:dyDescent="0.35">
      <c r="A5" s="55" t="s">
        <v>48</v>
      </c>
      <c r="B5" s="27">
        <v>25000000</v>
      </c>
      <c r="D5" s="72"/>
      <c r="E5" s="72"/>
      <c r="F5" s="72"/>
      <c r="G5" s="72"/>
    </row>
    <row r="6" spans="1:7" ht="16" x14ac:dyDescent="0.35">
      <c r="A6" s="55" t="s">
        <v>49</v>
      </c>
      <c r="B6" s="27">
        <v>2.5000000000000001E-2</v>
      </c>
      <c r="D6" s="72"/>
      <c r="E6" s="72"/>
      <c r="F6" s="72"/>
      <c r="G6" s="72"/>
    </row>
    <row r="7" spans="1:7" x14ac:dyDescent="0.35">
      <c r="A7" s="55" t="s">
        <v>9</v>
      </c>
      <c r="B7" s="13">
        <f>B2+B6</f>
        <v>4.53E-2</v>
      </c>
      <c r="D7" s="72"/>
      <c r="E7" s="72"/>
      <c r="F7" s="72"/>
      <c r="G7" s="72"/>
    </row>
    <row r="8" spans="1:7" ht="16" x14ac:dyDescent="0.35">
      <c r="A8" s="55" t="s">
        <v>14</v>
      </c>
      <c r="B8" s="28">
        <v>3.5000000000000001E-3</v>
      </c>
      <c r="D8" s="72"/>
      <c r="E8" s="72"/>
      <c r="F8" s="72"/>
      <c r="G8" s="72"/>
    </row>
    <row r="9" spans="1:7" x14ac:dyDescent="0.35">
      <c r="B9" s="11"/>
      <c r="D9" s="72"/>
      <c r="E9" s="72"/>
      <c r="F9" s="72"/>
      <c r="G9" s="72"/>
    </row>
    <row r="10" spans="1:7" x14ac:dyDescent="0.35">
      <c r="A10" s="65" t="s">
        <v>41</v>
      </c>
      <c r="B10" s="12"/>
      <c r="D10" s="72"/>
      <c r="E10" s="72"/>
      <c r="F10" s="72"/>
      <c r="G10" s="72"/>
    </row>
    <row r="11" spans="1:7" ht="16" x14ac:dyDescent="0.35">
      <c r="A11" s="55" t="s">
        <v>8</v>
      </c>
      <c r="B11" s="27">
        <v>100000000</v>
      </c>
      <c r="D11" s="72"/>
      <c r="E11" s="72"/>
      <c r="F11" s="72"/>
      <c r="G11" s="72"/>
    </row>
    <row r="12" spans="1:7" x14ac:dyDescent="0.35">
      <c r="A12" s="55" t="s">
        <v>49</v>
      </c>
      <c r="B12" s="24">
        <v>0.02</v>
      </c>
      <c r="D12" s="72"/>
      <c r="E12" s="72"/>
      <c r="F12" s="72"/>
      <c r="G12" s="72"/>
    </row>
    <row r="13" spans="1:7" x14ac:dyDescent="0.35">
      <c r="A13" s="55" t="s">
        <v>9</v>
      </c>
      <c r="B13" s="13">
        <f>B2+B12</f>
        <v>4.0300000000000002E-2</v>
      </c>
      <c r="D13" s="72"/>
      <c r="E13" s="72"/>
      <c r="F13" s="72"/>
      <c r="G13" s="72"/>
    </row>
    <row r="14" spans="1:7" x14ac:dyDescent="0.35">
      <c r="A14" s="55" t="s">
        <v>10</v>
      </c>
      <c r="B14" s="14">
        <v>7</v>
      </c>
    </row>
    <row r="15" spans="1:7" x14ac:dyDescent="0.35">
      <c r="B15" s="14"/>
    </row>
    <row r="16" spans="1:7" x14ac:dyDescent="0.35">
      <c r="A16" s="65" t="s">
        <v>33</v>
      </c>
      <c r="B16" s="37"/>
    </row>
    <row r="17" spans="1:2" ht="16" x14ac:dyDescent="0.35">
      <c r="A17" s="55" t="s">
        <v>8</v>
      </c>
      <c r="B17" s="27">
        <v>75000000</v>
      </c>
    </row>
    <row r="18" spans="1:2" x14ac:dyDescent="0.35">
      <c r="A18" s="55" t="s">
        <v>49</v>
      </c>
      <c r="B18" s="25">
        <v>0.04</v>
      </c>
    </row>
    <row r="19" spans="1:2" x14ac:dyDescent="0.35">
      <c r="A19" s="55" t="s">
        <v>9</v>
      </c>
      <c r="B19" s="13">
        <f>B2+B18</f>
        <v>6.0299999999999999E-2</v>
      </c>
    </row>
    <row r="20" spans="1:2" x14ac:dyDescent="0.35">
      <c r="A20" s="55" t="s">
        <v>10</v>
      </c>
      <c r="B20" s="26">
        <v>7</v>
      </c>
    </row>
    <row r="21" spans="1:2" x14ac:dyDescent="0.35">
      <c r="A21" s="55" t="s">
        <v>42</v>
      </c>
      <c r="B21" s="25">
        <v>0.01</v>
      </c>
    </row>
    <row r="22" spans="1:2" x14ac:dyDescent="0.35">
      <c r="A22" s="55" t="s">
        <v>27</v>
      </c>
      <c r="B22" s="24">
        <v>1.4999999999999999E-2</v>
      </c>
    </row>
    <row r="23" spans="1:2" s="6" customFormat="1" x14ac:dyDescent="0.35">
      <c r="A23" s="7"/>
      <c r="B23" s="16"/>
    </row>
    <row r="24" spans="1:2" x14ac:dyDescent="0.35">
      <c r="A24" s="65" t="s">
        <v>43</v>
      </c>
    </row>
    <row r="25" spans="1:2" x14ac:dyDescent="0.35">
      <c r="A25" s="55" t="s">
        <v>8</v>
      </c>
      <c r="B25" s="26">
        <v>50000000</v>
      </c>
    </row>
    <row r="26" spans="1:2" x14ac:dyDescent="0.35">
      <c r="A26" s="55" t="s">
        <v>19</v>
      </c>
      <c r="B26" s="25">
        <v>7.0000000000000007E-2</v>
      </c>
    </row>
    <row r="27" spans="1:2" x14ac:dyDescent="0.35">
      <c r="A27" s="55" t="s">
        <v>0</v>
      </c>
      <c r="B27" s="25">
        <v>0.02</v>
      </c>
    </row>
    <row r="28" spans="1:2" x14ac:dyDescent="0.35">
      <c r="A28" s="55" t="s">
        <v>20</v>
      </c>
      <c r="B28" s="17">
        <f>B26+B27</f>
        <v>9.0000000000000011E-2</v>
      </c>
    </row>
    <row r="29" spans="1:2" x14ac:dyDescent="0.35">
      <c r="A29" s="55" t="s">
        <v>10</v>
      </c>
      <c r="B29" s="30">
        <v>7</v>
      </c>
    </row>
    <row r="30" spans="1:2" x14ac:dyDescent="0.35">
      <c r="A30" s="55" t="s">
        <v>21</v>
      </c>
      <c r="B30" s="25">
        <v>0.01</v>
      </c>
    </row>
    <row r="31" spans="1:2" x14ac:dyDescent="0.35">
      <c r="A31" s="7"/>
      <c r="B31" s="25"/>
    </row>
    <row r="32" spans="1:2" x14ac:dyDescent="0.35">
      <c r="A32" s="65" t="s">
        <v>44</v>
      </c>
    </row>
    <row r="33" spans="1:2" x14ac:dyDescent="0.35">
      <c r="A33" s="55" t="s">
        <v>45</v>
      </c>
      <c r="B33" s="25">
        <v>0.03</v>
      </c>
    </row>
    <row r="34" spans="1:2" x14ac:dyDescent="0.35">
      <c r="A34" s="55" t="s">
        <v>46</v>
      </c>
      <c r="B34" s="29">
        <v>100000</v>
      </c>
    </row>
    <row r="36" spans="1:2" x14ac:dyDescent="0.35">
      <c r="B36" s="18"/>
    </row>
    <row r="37" spans="1:2" x14ac:dyDescent="0.35">
      <c r="B37" s="15"/>
    </row>
    <row r="38" spans="1:2" x14ac:dyDescent="0.35">
      <c r="B38" s="19"/>
    </row>
    <row r="39" spans="1:2" x14ac:dyDescent="0.35">
      <c r="B39" s="20"/>
    </row>
    <row r="40" spans="1:2" x14ac:dyDescent="0.35">
      <c r="B40" s="20"/>
    </row>
    <row r="41" spans="1:2" x14ac:dyDescent="0.35">
      <c r="B41" s="20"/>
    </row>
    <row r="43" spans="1:2" x14ac:dyDescent="0.35">
      <c r="B43" s="20"/>
    </row>
    <row r="44" spans="1:2" x14ac:dyDescent="0.35">
      <c r="B44" s="21"/>
    </row>
    <row r="45" spans="1:2" x14ac:dyDescent="0.35">
      <c r="B45" s="22"/>
    </row>
    <row r="47" spans="1:2" x14ac:dyDescent="0.35">
      <c r="B47" s="20"/>
    </row>
    <row r="48" spans="1:2" x14ac:dyDescent="0.35">
      <c r="B48" s="18"/>
    </row>
    <row r="49" spans="2:2" x14ac:dyDescent="0.35">
      <c r="B49" s="20"/>
    </row>
    <row r="51" spans="2:2" x14ac:dyDescent="0.35">
      <c r="B51" s="19"/>
    </row>
  </sheetData>
  <mergeCells count="1">
    <mergeCell ref="D2:G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DF67C-58EE-4AA2-B371-4302815FEB57}">
  <dimension ref="A1:H12"/>
  <sheetViews>
    <sheetView workbookViewId="0">
      <selection activeCell="F7" sqref="F7"/>
    </sheetView>
  </sheetViews>
  <sheetFormatPr baseColWidth="10" defaultRowHeight="14.5" x14ac:dyDescent="0.35"/>
  <cols>
    <col min="1" max="1" width="36.36328125" customWidth="1"/>
    <col min="2" max="6" width="12.36328125" bestFit="1" customWidth="1"/>
    <col min="8" max="8" width="21.7265625" customWidth="1"/>
  </cols>
  <sheetData>
    <row r="1" spans="1:8" x14ac:dyDescent="0.35">
      <c r="C1" s="68" t="s">
        <v>65</v>
      </c>
      <c r="D1" s="68"/>
      <c r="E1" s="68"/>
      <c r="F1" s="68"/>
    </row>
    <row r="2" spans="1:8" x14ac:dyDescent="0.35">
      <c r="A2" s="1"/>
      <c r="C2" s="68"/>
      <c r="D2" s="68"/>
      <c r="E2" s="68"/>
      <c r="F2" s="68"/>
    </row>
    <row r="5" spans="1:8" x14ac:dyDescent="0.35">
      <c r="A5" s="2"/>
      <c r="B5" s="38" cm="1">
        <f t="array" ref="B5:H5">_xlfn.SEQUENCE(1,7,2026,1)</f>
        <v>2026</v>
      </c>
      <c r="C5" s="38">
        <v>2027</v>
      </c>
      <c r="D5" s="38">
        <v>2028</v>
      </c>
      <c r="E5" s="38">
        <v>2029</v>
      </c>
      <c r="F5" s="38">
        <v>2030</v>
      </c>
      <c r="G5" s="39">
        <v>2031</v>
      </c>
      <c r="H5" s="39">
        <v>2032</v>
      </c>
    </row>
    <row r="6" spans="1:8" x14ac:dyDescent="0.35">
      <c r="A6" s="54" t="s">
        <v>12</v>
      </c>
      <c r="B6" s="35">
        <v>5000000</v>
      </c>
      <c r="C6" s="31">
        <f>B8</f>
        <v>8435714.2857142854</v>
      </c>
      <c r="D6" s="31">
        <f t="shared" ref="D6:H6" si="0">C8</f>
        <v>9171428.5714285709</v>
      </c>
      <c r="E6" s="31">
        <f t="shared" si="0"/>
        <v>9106500</v>
      </c>
      <c r="F6" s="31">
        <f t="shared" si="0"/>
        <v>8891590.7142857146</v>
      </c>
      <c r="G6" s="31">
        <f t="shared" si="0"/>
        <v>8444200.1357142851</v>
      </c>
      <c r="H6" s="31">
        <f t="shared" si="0"/>
        <v>7684302.7030714275</v>
      </c>
    </row>
    <row r="7" spans="1:8" x14ac:dyDescent="0.35">
      <c r="A7" s="54" t="s">
        <v>15</v>
      </c>
      <c r="B7" s="36">
        <f>'Flux de trésorerie'!B13+'Flux de trésorerie'!B14</f>
        <v>3435714.2857142854</v>
      </c>
      <c r="C7" s="36">
        <f>'Flux de trésorerie'!C13+'Flux de trésorerie'!C14</f>
        <v>735714.28571428545</v>
      </c>
      <c r="D7" s="36">
        <f>'Flux de trésorerie'!D13+'Flux de trésorerie'!D14</f>
        <v>-64928.571428571435</v>
      </c>
      <c r="E7" s="36">
        <f>'Flux de trésorerie'!E13+'Flux de trésorerie'!E14</f>
        <v>-214909.28571428568</v>
      </c>
      <c r="F7" s="36">
        <f>'Flux de trésorerie'!F13+'Flux de trésorerie'!F14</f>
        <v>-447390.57857142866</v>
      </c>
      <c r="G7" s="36">
        <f>'Flux de trésorerie'!G13+'Flux de trésorerie'!G14</f>
        <v>-759897.43264285731</v>
      </c>
      <c r="H7" s="36">
        <f>'Flux de trésorerie'!H13+'Flux de trésorerie'!H14</f>
        <v>28999980.679392561</v>
      </c>
    </row>
    <row r="8" spans="1:8" x14ac:dyDescent="0.35">
      <c r="A8" s="54" t="s">
        <v>13</v>
      </c>
      <c r="B8" s="31">
        <f>B6+B7</f>
        <v>8435714.2857142854</v>
      </c>
      <c r="C8" s="31">
        <f t="shared" ref="C8:F8" si="1">C6+C7</f>
        <v>9171428.5714285709</v>
      </c>
      <c r="D8" s="31">
        <f t="shared" si="1"/>
        <v>9106500</v>
      </c>
      <c r="E8" s="31">
        <f t="shared" si="1"/>
        <v>8891590.7142857146</v>
      </c>
      <c r="F8" s="31">
        <f t="shared" si="1"/>
        <v>8444200.1357142851</v>
      </c>
      <c r="G8" s="31">
        <f t="shared" ref="G8" si="2">G6+G7</f>
        <v>7684302.7030714275</v>
      </c>
      <c r="H8" s="31">
        <f t="shared" ref="H8" si="3">H6+H7</f>
        <v>36684283.382463992</v>
      </c>
    </row>
    <row r="9" spans="1:8" x14ac:dyDescent="0.35">
      <c r="A9" s="54" t="s">
        <v>16</v>
      </c>
      <c r="B9" s="36">
        <f>Hypothèses!$B$5</f>
        <v>25000000</v>
      </c>
      <c r="C9" s="36">
        <f>Hypothèses!$B$5</f>
        <v>25000000</v>
      </c>
      <c r="D9" s="36">
        <f>Hypothèses!$B$5</f>
        <v>25000000</v>
      </c>
      <c r="E9" s="36">
        <f>Hypothèses!$B$5</f>
        <v>25000000</v>
      </c>
      <c r="F9" s="36">
        <f>Hypothèses!$B$5</f>
        <v>25000000</v>
      </c>
      <c r="G9" s="36">
        <f>Hypothèses!$B$5</f>
        <v>25000000</v>
      </c>
      <c r="H9" s="36">
        <f>Hypothèses!$B$5</f>
        <v>25000000</v>
      </c>
    </row>
    <row r="10" spans="1:8" x14ac:dyDescent="0.35">
      <c r="A10" s="54" t="s">
        <v>17</v>
      </c>
      <c r="B10" s="36">
        <f>B9-B8</f>
        <v>16564285.714285715</v>
      </c>
      <c r="C10" s="36">
        <f t="shared" ref="C10:F10" si="4">C9-C8</f>
        <v>15828571.428571429</v>
      </c>
      <c r="D10" s="36">
        <f t="shared" si="4"/>
        <v>15893500</v>
      </c>
      <c r="E10" s="36">
        <f t="shared" si="4"/>
        <v>16108409.285714285</v>
      </c>
      <c r="F10" s="36">
        <f t="shared" si="4"/>
        <v>16555799.864285715</v>
      </c>
      <c r="G10" s="36">
        <f t="shared" ref="G10" si="5">G9-G8</f>
        <v>17315697.296928573</v>
      </c>
      <c r="H10" s="36">
        <f t="shared" ref="H10" si="6">H9-H8</f>
        <v>-11684283.382463992</v>
      </c>
    </row>
    <row r="11" spans="1:8" x14ac:dyDescent="0.35">
      <c r="A11" s="54" t="s">
        <v>14</v>
      </c>
      <c r="B11" s="36">
        <f>B10*Hypothèses!$B$8</f>
        <v>57975</v>
      </c>
      <c r="C11" s="36">
        <f>C10*Hypothèses!$B$8</f>
        <v>55400</v>
      </c>
      <c r="D11" s="36">
        <f>D10*Hypothèses!$B$8</f>
        <v>55627.25</v>
      </c>
      <c r="E11" s="36">
        <f>E10*Hypothèses!$B$8</f>
        <v>56379.432500000003</v>
      </c>
      <c r="F11" s="36">
        <f>F10*Hypothèses!$B$8</f>
        <v>57945.299525000002</v>
      </c>
      <c r="G11" s="36">
        <f>G10*Hypothèses!$B$8</f>
        <v>60604.940539250005</v>
      </c>
      <c r="H11" s="36">
        <f>H10*Hypothèses!$B$8</f>
        <v>-40894.991838623973</v>
      </c>
    </row>
    <row r="12" spans="1:8" x14ac:dyDescent="0.35">
      <c r="A12" s="54" t="s">
        <v>18</v>
      </c>
      <c r="B12" s="36">
        <f>B8*Hypothèses!$B$7</f>
        <v>382137.85714285716</v>
      </c>
      <c r="C12" s="36">
        <f>C8*Hypothèses!$B$7</f>
        <v>415465.71428571426</v>
      </c>
      <c r="D12" s="36">
        <f>D8*Hypothèses!$B$7</f>
        <v>412524.45</v>
      </c>
      <c r="E12" s="36">
        <f>E8*Hypothèses!$B$7</f>
        <v>402789.05935714289</v>
      </c>
      <c r="F12" s="36">
        <f>F8*Hypothèses!$B$7</f>
        <v>382522.26614785712</v>
      </c>
      <c r="G12" s="36">
        <f>G8*Hypothèses!$B$7</f>
        <v>348098.91244913568</v>
      </c>
      <c r="H12" s="36">
        <f>H8*Hypothèses!$B$7</f>
        <v>1661798.0372256187</v>
      </c>
    </row>
  </sheetData>
  <mergeCells count="1">
    <mergeCell ref="C1:F2"/>
  </mergeCells>
  <phoneticPr fontId="6" type="noConversion"/>
  <conditionalFormatting sqref="B8:H8">
    <cfRule type="cellIs" dxfId="1" priority="1" operator="greaterThan">
      <formula>$B$9</formula>
    </cfRule>
    <cfRule type="cellIs" dxfId="0" priority="2" operator="greaterThan">
      <formula>$B$9</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DDB0F-A8D7-4D78-A7D6-061B814D8890}">
  <dimension ref="A1:H12"/>
  <sheetViews>
    <sheetView workbookViewId="0">
      <selection activeCell="C3" sqref="C3"/>
    </sheetView>
  </sheetViews>
  <sheetFormatPr baseColWidth="10" defaultColWidth="13.453125" defaultRowHeight="14.5" x14ac:dyDescent="0.35"/>
  <cols>
    <col min="1" max="1" width="42.453125" style="2" bestFit="1" customWidth="1"/>
    <col min="2" max="2" width="11.6328125" style="2" customWidth="1"/>
    <col min="3" max="3" width="12.81640625" style="2" customWidth="1"/>
    <col min="4" max="4" width="16.54296875" style="2" customWidth="1"/>
    <col min="5" max="5" width="17.81640625" style="2" customWidth="1"/>
    <col min="6" max="16384" width="13.453125" style="2"/>
  </cols>
  <sheetData>
    <row r="1" spans="1:8" ht="14.5" customHeight="1" x14ac:dyDescent="0.35">
      <c r="C1" s="68" t="s">
        <v>66</v>
      </c>
      <c r="D1" s="68"/>
      <c r="E1" s="68"/>
      <c r="F1" s="68"/>
    </row>
    <row r="2" spans="1:8" ht="14.5" customHeight="1" x14ac:dyDescent="0.35">
      <c r="C2" s="68"/>
      <c r="D2" s="68"/>
      <c r="E2" s="68"/>
      <c r="F2" s="68"/>
    </row>
    <row r="5" spans="1:8" x14ac:dyDescent="0.35">
      <c r="A5" s="57" t="s">
        <v>11</v>
      </c>
      <c r="B5" s="57" cm="1">
        <f t="array" ref="B5:H5">_xlfn.SEQUENCE(1,7,2026,1)</f>
        <v>2026</v>
      </c>
      <c r="C5" s="58">
        <v>2027</v>
      </c>
      <c r="D5" s="58">
        <v>2028</v>
      </c>
      <c r="E5" s="58">
        <v>2029</v>
      </c>
      <c r="F5" s="58">
        <v>2030</v>
      </c>
      <c r="G5" s="58">
        <v>2031</v>
      </c>
      <c r="H5" s="58">
        <v>2032</v>
      </c>
    </row>
    <row r="6" spans="1:8" x14ac:dyDescent="0.35">
      <c r="A6" s="56" t="s">
        <v>12</v>
      </c>
      <c r="B6" s="43">
        <f>Hypothèses!B25</f>
        <v>50000000</v>
      </c>
      <c r="C6" s="40">
        <f>B11</f>
        <v>51000000</v>
      </c>
      <c r="D6" s="40">
        <f t="shared" ref="D6:H6" si="0">C11</f>
        <v>52020000</v>
      </c>
      <c r="E6" s="40">
        <f t="shared" si="0"/>
        <v>53060400</v>
      </c>
      <c r="F6" s="40">
        <f t="shared" si="0"/>
        <v>54121608</v>
      </c>
      <c r="G6" s="40">
        <f t="shared" si="0"/>
        <v>55204040.159999996</v>
      </c>
      <c r="H6" s="40">
        <f t="shared" si="0"/>
        <v>56308120.963199995</v>
      </c>
    </row>
    <row r="7" spans="1:8" x14ac:dyDescent="0.35">
      <c r="A7" s="56" t="s">
        <v>22</v>
      </c>
      <c r="B7" s="34">
        <f>B6*Hypothèses!$B$26</f>
        <v>3500000.0000000005</v>
      </c>
      <c r="C7" s="34">
        <f>C6*Hypothèses!$B$26</f>
        <v>3570000.0000000005</v>
      </c>
      <c r="D7" s="34">
        <f>D6*Hypothèses!$B$26</f>
        <v>3641400.0000000005</v>
      </c>
      <c r="E7" s="34">
        <f>E6*Hypothèses!$B$26</f>
        <v>3714228.0000000005</v>
      </c>
      <c r="F7" s="34">
        <f>F6*Hypothèses!$B$26</f>
        <v>3788512.5600000005</v>
      </c>
      <c r="G7" s="34">
        <f>G6*Hypothèses!$B$26</f>
        <v>3864282.8112000003</v>
      </c>
      <c r="H7" s="34">
        <f>H6*Hypothèses!$B$26</f>
        <v>3941568.4674240001</v>
      </c>
    </row>
    <row r="8" spans="1:8" x14ac:dyDescent="0.35">
      <c r="A8" s="56" t="s">
        <v>23</v>
      </c>
      <c r="B8" s="34">
        <f>B6*Hypothèses!$B$27</f>
        <v>1000000</v>
      </c>
      <c r="C8" s="34">
        <f>C6*Hypothèses!$B$27</f>
        <v>1020000</v>
      </c>
      <c r="D8" s="34">
        <f>D6*Hypothèses!$B$27</f>
        <v>1040400</v>
      </c>
      <c r="E8" s="34">
        <f>E6*Hypothèses!$B$27</f>
        <v>1061208</v>
      </c>
      <c r="F8" s="34">
        <f>F6*Hypothèses!$B$27</f>
        <v>1082432.1599999999</v>
      </c>
      <c r="G8" s="34">
        <f>G6*Hypothèses!$B$27</f>
        <v>1104080.8032</v>
      </c>
      <c r="H8" s="34">
        <f>H6*Hypothèses!$B$27</f>
        <v>1126162.4192639999</v>
      </c>
    </row>
    <row r="9" spans="1:8" x14ac:dyDescent="0.35">
      <c r="A9" s="56" t="s">
        <v>24</v>
      </c>
      <c r="B9" s="2">
        <v>0</v>
      </c>
      <c r="C9" s="2">
        <v>0</v>
      </c>
      <c r="D9" s="2">
        <v>0</v>
      </c>
      <c r="E9" s="2">
        <v>0</v>
      </c>
      <c r="F9" s="2">
        <v>0</v>
      </c>
      <c r="G9" s="2">
        <v>0</v>
      </c>
      <c r="H9" s="40">
        <v>0</v>
      </c>
    </row>
    <row r="10" spans="1:8" x14ac:dyDescent="0.35">
      <c r="A10" s="56" t="s">
        <v>25</v>
      </c>
      <c r="B10" s="2">
        <v>0</v>
      </c>
      <c r="C10" s="2">
        <v>0</v>
      </c>
      <c r="D10" s="2">
        <v>0</v>
      </c>
      <c r="E10" s="2">
        <v>0</v>
      </c>
      <c r="F10" s="2">
        <v>0</v>
      </c>
      <c r="G10" s="2">
        <v>0</v>
      </c>
      <c r="H10" s="40">
        <f>H6+H8</f>
        <v>57434283.382463992</v>
      </c>
    </row>
    <row r="11" spans="1:8" x14ac:dyDescent="0.35">
      <c r="A11" s="56" t="s">
        <v>13</v>
      </c>
      <c r="B11" s="43">
        <f>B6+B8+B9-B10</f>
        <v>51000000</v>
      </c>
      <c r="C11" s="43">
        <f t="shared" ref="C11:H11" si="1">C6+C8+C9-C10</f>
        <v>52020000</v>
      </c>
      <c r="D11" s="43">
        <f t="shared" si="1"/>
        <v>53060400</v>
      </c>
      <c r="E11" s="43">
        <f t="shared" si="1"/>
        <v>54121608</v>
      </c>
      <c r="F11" s="43">
        <f t="shared" si="1"/>
        <v>55204040.159999996</v>
      </c>
      <c r="G11" s="43">
        <f t="shared" si="1"/>
        <v>56308120.963199995</v>
      </c>
      <c r="H11" s="43">
        <f t="shared" si="1"/>
        <v>0</v>
      </c>
    </row>
    <row r="12" spans="1:8" x14ac:dyDescent="0.35">
      <c r="A12" s="64" t="s">
        <v>26</v>
      </c>
      <c r="B12" s="34">
        <f>B7+B9+B10</f>
        <v>3500000.0000000005</v>
      </c>
      <c r="C12" s="34">
        <f t="shared" ref="C12:H12" si="2">C7+C9+C10</f>
        <v>3570000.0000000005</v>
      </c>
      <c r="D12" s="34">
        <f t="shared" si="2"/>
        <v>3641400.0000000005</v>
      </c>
      <c r="E12" s="34">
        <f t="shared" si="2"/>
        <v>3714228.0000000005</v>
      </c>
      <c r="F12" s="34">
        <f t="shared" si="2"/>
        <v>3788512.5600000005</v>
      </c>
      <c r="G12" s="34">
        <f t="shared" si="2"/>
        <v>3864282.8112000003</v>
      </c>
      <c r="H12" s="34">
        <f t="shared" si="2"/>
        <v>61375851.849887989</v>
      </c>
    </row>
  </sheetData>
  <mergeCells count="1">
    <mergeCell ref="C1: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9DCDB-5595-4EE9-B265-32555CD3BB29}">
  <dimension ref="A1:H12"/>
  <sheetViews>
    <sheetView workbookViewId="0">
      <selection activeCell="C1" sqref="C1:F2"/>
    </sheetView>
  </sheetViews>
  <sheetFormatPr baseColWidth="10" defaultRowHeight="14.5" x14ac:dyDescent="0.35"/>
  <cols>
    <col min="1" max="1" width="22" customWidth="1"/>
  </cols>
  <sheetData>
    <row r="1" spans="1:8" x14ac:dyDescent="0.35">
      <c r="C1" s="71" t="s">
        <v>67</v>
      </c>
      <c r="D1" s="71"/>
      <c r="E1" s="71"/>
      <c r="F1" s="71"/>
    </row>
    <row r="2" spans="1:8" x14ac:dyDescent="0.35">
      <c r="C2" s="71"/>
      <c r="D2" s="71"/>
      <c r="E2" s="71"/>
      <c r="F2" s="71"/>
    </row>
    <row r="5" spans="1:8" x14ac:dyDescent="0.35">
      <c r="A5" s="59" t="s">
        <v>11</v>
      </c>
      <c r="B5" s="58" cm="1">
        <f t="array" ref="B5:H5">_xlfn.SEQUENCE(1,7,2026,1)</f>
        <v>2026</v>
      </c>
      <c r="C5" s="58">
        <v>2027</v>
      </c>
      <c r="D5" s="58">
        <v>2028</v>
      </c>
      <c r="E5" s="58">
        <v>2029</v>
      </c>
      <c r="F5" s="58">
        <v>2030</v>
      </c>
      <c r="G5" s="58">
        <v>2031</v>
      </c>
      <c r="H5" s="58">
        <v>2032</v>
      </c>
    </row>
    <row r="6" spans="1:8" x14ac:dyDescent="0.35">
      <c r="A6" s="54" t="s">
        <v>12</v>
      </c>
      <c r="B6" s="40">
        <f>Hypothèses!B17</f>
        <v>75000000</v>
      </c>
      <c r="C6" s="40">
        <f>B10</f>
        <v>74250000</v>
      </c>
      <c r="D6" s="40">
        <f t="shared" ref="D6:H6" si="0">C10</f>
        <v>73500000</v>
      </c>
      <c r="E6" s="40">
        <f t="shared" si="0"/>
        <v>72750000</v>
      </c>
      <c r="F6" s="40">
        <f t="shared" si="0"/>
        <v>72000000</v>
      </c>
      <c r="G6" s="40">
        <f t="shared" si="0"/>
        <v>71250000</v>
      </c>
      <c r="H6" s="40">
        <f t="shared" si="0"/>
        <v>70500000</v>
      </c>
    </row>
    <row r="7" spans="1:8" x14ac:dyDescent="0.35">
      <c r="A7" s="54" t="s">
        <v>28</v>
      </c>
      <c r="B7" s="34">
        <f>Hypothèses!$B$17*Hypothèses!$B$21</f>
        <v>750000</v>
      </c>
      <c r="C7" s="34">
        <f>Hypothèses!$B$17*Hypothèses!$B$21</f>
        <v>750000</v>
      </c>
      <c r="D7" s="34">
        <f>Hypothèses!$B$17*Hypothèses!$B$21</f>
        <v>750000</v>
      </c>
      <c r="E7" s="34">
        <f>Hypothèses!$B$17*Hypothèses!$B$21</f>
        <v>750000</v>
      </c>
      <c r="F7" s="34">
        <f>Hypothèses!$B$17*Hypothèses!$B$21</f>
        <v>750000</v>
      </c>
      <c r="G7" s="34">
        <f>Hypothèses!$B$17*Hypothèses!$B$21</f>
        <v>750000</v>
      </c>
      <c r="H7" s="34">
        <f>Hypothèses!$B$17*Hypothèses!$B$21</f>
        <v>750000</v>
      </c>
    </row>
    <row r="8" spans="1:8" x14ac:dyDescent="0.35">
      <c r="A8" s="54" t="s">
        <v>24</v>
      </c>
      <c r="B8" s="2">
        <v>0</v>
      </c>
      <c r="C8" s="2">
        <v>0</v>
      </c>
      <c r="D8" s="2">
        <v>0</v>
      </c>
      <c r="E8" s="2">
        <v>0</v>
      </c>
      <c r="F8" s="2">
        <v>0</v>
      </c>
      <c r="G8" s="2">
        <v>0</v>
      </c>
      <c r="H8" s="2">
        <v>0</v>
      </c>
    </row>
    <row r="9" spans="1:8" x14ac:dyDescent="0.35">
      <c r="A9" s="54" t="s">
        <v>25</v>
      </c>
      <c r="B9" s="2">
        <v>0</v>
      </c>
      <c r="C9" s="2">
        <v>0</v>
      </c>
      <c r="D9" s="2">
        <v>0</v>
      </c>
      <c r="E9" s="2">
        <v>0</v>
      </c>
      <c r="F9" s="2">
        <v>0</v>
      </c>
      <c r="G9" s="2">
        <v>0</v>
      </c>
      <c r="H9" s="40">
        <f>H6-H7</f>
        <v>69750000</v>
      </c>
    </row>
    <row r="10" spans="1:8" x14ac:dyDescent="0.35">
      <c r="A10" s="54" t="s">
        <v>13</v>
      </c>
      <c r="B10" s="40">
        <f>B6-B7-B8-B9</f>
        <v>74250000</v>
      </c>
      <c r="C10" s="40">
        <f>C6-C7</f>
        <v>73500000</v>
      </c>
      <c r="D10" s="40">
        <f t="shared" ref="D10:H10" si="1">D6-D7</f>
        <v>72750000</v>
      </c>
      <c r="E10" s="40">
        <f t="shared" si="1"/>
        <v>72000000</v>
      </c>
      <c r="F10" s="40">
        <f t="shared" si="1"/>
        <v>71250000</v>
      </c>
      <c r="G10" s="40">
        <f t="shared" si="1"/>
        <v>70500000</v>
      </c>
      <c r="H10" s="40">
        <f>H6-H7-H8-H9</f>
        <v>0</v>
      </c>
    </row>
    <row r="11" spans="1:8" x14ac:dyDescent="0.35">
      <c r="A11" s="54" t="s">
        <v>29</v>
      </c>
      <c r="B11" s="2">
        <f>B6*Hypothèses!$B$19</f>
        <v>4522500</v>
      </c>
      <c r="C11" s="2">
        <f>C6*Hypothèses!$B$19</f>
        <v>4477275</v>
      </c>
      <c r="D11" s="2">
        <f>D6*Hypothèses!$B$19</f>
        <v>4432050</v>
      </c>
      <c r="E11" s="2">
        <f>E6*Hypothèses!$B$19</f>
        <v>4386825</v>
      </c>
      <c r="F11" s="2">
        <f>F6*Hypothèses!$B$19</f>
        <v>4341600</v>
      </c>
      <c r="G11" s="2">
        <f>G6*Hypothèses!$B$19</f>
        <v>4296375</v>
      </c>
      <c r="H11" s="2">
        <f>H6*Hypothèses!$B$19</f>
        <v>4251150</v>
      </c>
    </row>
    <row r="12" spans="1:8" x14ac:dyDescent="0.35">
      <c r="A12" s="62" t="s">
        <v>30</v>
      </c>
      <c r="B12" s="2">
        <f>B7+B8+B9+B11</f>
        <v>5272500</v>
      </c>
      <c r="C12" s="2">
        <f>C7+C8+C9+C11</f>
        <v>5227275</v>
      </c>
      <c r="D12" s="2">
        <f t="shared" ref="D12:H12" si="2">D7+D8+D9+D11</f>
        <v>5182050</v>
      </c>
      <c r="E12" s="2">
        <f t="shared" si="2"/>
        <v>5136825</v>
      </c>
      <c r="F12" s="2">
        <f t="shared" si="2"/>
        <v>5091600</v>
      </c>
      <c r="G12" s="2">
        <f t="shared" si="2"/>
        <v>5046375</v>
      </c>
      <c r="H12" s="2">
        <f t="shared" si="2"/>
        <v>74751150</v>
      </c>
    </row>
  </sheetData>
  <mergeCells count="1">
    <mergeCell ref="C1: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14300-5820-4190-BBDB-B2C97737467E}">
  <dimension ref="A2:H16"/>
  <sheetViews>
    <sheetView topLeftCell="A2" workbookViewId="0">
      <selection activeCell="C2" sqref="C2:F3"/>
    </sheetView>
  </sheetViews>
  <sheetFormatPr baseColWidth="10" defaultRowHeight="14.5" x14ac:dyDescent="0.35"/>
  <cols>
    <col min="2" max="2" width="12.90625" bestFit="1" customWidth="1"/>
  </cols>
  <sheetData>
    <row r="2" spans="1:8" x14ac:dyDescent="0.35">
      <c r="C2" s="69" t="s">
        <v>68</v>
      </c>
      <c r="D2" s="69"/>
      <c r="E2" s="69"/>
      <c r="F2" s="69"/>
    </row>
    <row r="3" spans="1:8" x14ac:dyDescent="0.35">
      <c r="C3" s="69"/>
      <c r="D3" s="69"/>
      <c r="E3" s="69"/>
      <c r="F3" s="69"/>
    </row>
    <row r="5" spans="1:8" x14ac:dyDescent="0.35">
      <c r="A5" s="60" t="s">
        <v>11</v>
      </c>
      <c r="B5" s="61" cm="1">
        <f t="array" ref="B5:H5">_xlfn.SEQUENCE(1,7,2026,1)</f>
        <v>2026</v>
      </c>
      <c r="C5" s="58">
        <v>2027</v>
      </c>
      <c r="D5" s="58">
        <v>2028</v>
      </c>
      <c r="E5" s="58">
        <v>2029</v>
      </c>
      <c r="F5" s="58">
        <v>2030</v>
      </c>
      <c r="G5" s="58">
        <v>2031</v>
      </c>
      <c r="H5" s="58">
        <v>2032</v>
      </c>
    </row>
    <row r="6" spans="1:8" x14ac:dyDescent="0.35">
      <c r="A6" s="54" t="s">
        <v>12</v>
      </c>
      <c r="B6" s="48">
        <f>Hypothèses!$B$11</f>
        <v>100000000</v>
      </c>
      <c r="C6" s="2">
        <f>B8</f>
        <v>85714285.714285716</v>
      </c>
      <c r="D6" s="2">
        <f t="shared" ref="D6:H6" si="0">C8</f>
        <v>71428571.428571433</v>
      </c>
      <c r="E6" s="2">
        <f t="shared" si="0"/>
        <v>57142857.142857149</v>
      </c>
      <c r="F6" s="2">
        <f t="shared" si="0"/>
        <v>42857142.857142866</v>
      </c>
      <c r="G6" s="2">
        <f t="shared" si="0"/>
        <v>28571428.571428582</v>
      </c>
      <c r="H6" s="2">
        <f t="shared" si="0"/>
        <v>14285714.285714297</v>
      </c>
    </row>
    <row r="7" spans="1:8" x14ac:dyDescent="0.35">
      <c r="A7" s="54" t="s">
        <v>50</v>
      </c>
      <c r="B7" s="2">
        <f>Hypothèses!$B$11/Hypothèses!$B$14</f>
        <v>14285714.285714285</v>
      </c>
      <c r="C7" s="2">
        <f>Hypothèses!$B$11/Hypothèses!$B$14</f>
        <v>14285714.285714285</v>
      </c>
      <c r="D7" s="2">
        <f>Hypothèses!$B$11/Hypothèses!$B$14</f>
        <v>14285714.285714285</v>
      </c>
      <c r="E7" s="2">
        <f>Hypothèses!$B$11/Hypothèses!$B$14</f>
        <v>14285714.285714285</v>
      </c>
      <c r="F7" s="2">
        <f>Hypothèses!$B$11/Hypothèses!$B$14</f>
        <v>14285714.285714285</v>
      </c>
      <c r="G7" s="2">
        <f>Hypothèses!$B$11/Hypothèses!$B$14</f>
        <v>14285714.285714285</v>
      </c>
      <c r="H7" s="2">
        <f>Hypothèses!$B$11/Hypothèses!$B$14</f>
        <v>14285714.285714285</v>
      </c>
    </row>
    <row r="8" spans="1:8" x14ac:dyDescent="0.35">
      <c r="A8" s="54" t="s">
        <v>13</v>
      </c>
      <c r="B8" s="2">
        <f>B6-B7</f>
        <v>85714285.714285716</v>
      </c>
      <c r="C8" s="2">
        <f>C6-C7</f>
        <v>71428571.428571433</v>
      </c>
      <c r="D8" s="2">
        <f t="shared" ref="D8:H8" si="1">D6-D7</f>
        <v>57142857.142857149</v>
      </c>
      <c r="E8" s="2">
        <f t="shared" si="1"/>
        <v>42857142.857142866</v>
      </c>
      <c r="F8" s="2">
        <f t="shared" si="1"/>
        <v>28571428.571428582</v>
      </c>
      <c r="G8" s="2">
        <f t="shared" si="1"/>
        <v>14285714.285714297</v>
      </c>
      <c r="H8" s="2">
        <f t="shared" si="1"/>
        <v>0</v>
      </c>
    </row>
    <row r="9" spans="1:8" x14ac:dyDescent="0.35">
      <c r="A9" s="54" t="s">
        <v>29</v>
      </c>
      <c r="B9" s="2">
        <f>B6*Hypothèses!$B$13</f>
        <v>4030000.0000000005</v>
      </c>
      <c r="C9" s="2">
        <f>C6*Hypothèses!$B$13</f>
        <v>3454285.7142857146</v>
      </c>
      <c r="D9" s="2">
        <f>D6*Hypothèses!$B$13</f>
        <v>2878571.4285714291</v>
      </c>
      <c r="E9" s="2">
        <f>E6*Hypothèses!$B$13</f>
        <v>2302857.1428571432</v>
      </c>
      <c r="F9" s="2">
        <f>F6*Hypothèses!$B$13</f>
        <v>1727142.8571428575</v>
      </c>
      <c r="G9" s="2">
        <f>G6*Hypothèses!$B$13</f>
        <v>1151428.5714285718</v>
      </c>
      <c r="H9" s="2">
        <f>H6*Hypothèses!$B$13</f>
        <v>575714.28571428615</v>
      </c>
    </row>
    <row r="10" spans="1:8" x14ac:dyDescent="0.35">
      <c r="A10" s="62" t="s">
        <v>51</v>
      </c>
      <c r="B10" s="49">
        <f>B9+B7</f>
        <v>18315714.285714287</v>
      </c>
      <c r="C10" s="49">
        <f>C9+C7</f>
        <v>17740000</v>
      </c>
      <c r="D10" s="49">
        <f t="shared" ref="D10:H10" si="2">D9+D7</f>
        <v>17164285.714285716</v>
      </c>
      <c r="E10" s="49">
        <f t="shared" si="2"/>
        <v>16588571.428571429</v>
      </c>
      <c r="F10" s="49">
        <f t="shared" si="2"/>
        <v>16012857.142857144</v>
      </c>
      <c r="G10" s="49">
        <f t="shared" si="2"/>
        <v>15437142.857142858</v>
      </c>
      <c r="H10" s="49">
        <f t="shared" si="2"/>
        <v>14861428.571428571</v>
      </c>
    </row>
    <row r="11" spans="1:8" x14ac:dyDescent="0.35">
      <c r="A11" s="4"/>
      <c r="B11" s="3"/>
      <c r="C11" s="3"/>
      <c r="D11" s="3"/>
      <c r="E11" s="3"/>
      <c r="F11" s="3"/>
      <c r="G11" s="3"/>
      <c r="H11" s="3"/>
    </row>
    <row r="12" spans="1:8" x14ac:dyDescent="0.35">
      <c r="A12" s="4"/>
      <c r="B12" s="3"/>
      <c r="C12" s="3"/>
      <c r="D12" s="3"/>
      <c r="E12" s="3"/>
      <c r="F12" s="3"/>
      <c r="G12" s="3"/>
      <c r="H12" s="3"/>
    </row>
    <row r="13" spans="1:8" x14ac:dyDescent="0.35">
      <c r="A13" s="4"/>
      <c r="B13" s="3"/>
      <c r="C13" s="3"/>
      <c r="D13" s="3"/>
      <c r="E13" s="3"/>
      <c r="F13" s="3"/>
      <c r="G13" s="3"/>
      <c r="H13" s="3"/>
    </row>
    <row r="15" spans="1:8" x14ac:dyDescent="0.35">
      <c r="A15" s="4"/>
    </row>
    <row r="16" spans="1:8" x14ac:dyDescent="0.35">
      <c r="A16" s="4"/>
    </row>
  </sheetData>
  <mergeCells count="1">
    <mergeCell ref="C2: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41C31-7DC4-4F6F-8016-053176268941}">
  <dimension ref="A1:H28"/>
  <sheetViews>
    <sheetView workbookViewId="0">
      <selection activeCell="C1" sqref="C1:F2"/>
    </sheetView>
  </sheetViews>
  <sheetFormatPr baseColWidth="10" defaultRowHeight="15.5" x14ac:dyDescent="0.35"/>
  <cols>
    <col min="1" max="1" width="22.7265625" style="50" customWidth="1"/>
    <col min="2" max="2" width="11.08984375" style="45" bestFit="1" customWidth="1"/>
    <col min="3" max="16384" width="10.90625" style="45"/>
  </cols>
  <sheetData>
    <row r="1" spans="1:8" x14ac:dyDescent="0.35">
      <c r="C1" s="70" t="s">
        <v>69</v>
      </c>
      <c r="D1" s="70"/>
      <c r="E1" s="70"/>
      <c r="F1" s="70"/>
    </row>
    <row r="2" spans="1:8" x14ac:dyDescent="0.35">
      <c r="B2" s="46"/>
      <c r="C2" s="70"/>
      <c r="D2" s="70"/>
      <c r="E2" s="70"/>
      <c r="F2" s="70"/>
    </row>
    <row r="5" spans="1:8" x14ac:dyDescent="0.35">
      <c r="B5" s="47"/>
      <c r="C5" s="47"/>
      <c r="D5" s="47"/>
      <c r="E5" s="47"/>
      <c r="F5" s="47"/>
    </row>
    <row r="6" spans="1:8" x14ac:dyDescent="0.35">
      <c r="A6" s="52" t="s">
        <v>52</v>
      </c>
      <c r="B6" s="53" cm="1">
        <f t="array" ref="B6:H6">_xlfn.SEQUENCE(1,7,2026,1)</f>
        <v>2026</v>
      </c>
      <c r="C6" s="53">
        <v>2027</v>
      </c>
      <c r="D6" s="53">
        <v>2028</v>
      </c>
      <c r="E6" s="53">
        <v>2029</v>
      </c>
      <c r="F6" s="53">
        <v>2030</v>
      </c>
      <c r="G6" s="53">
        <v>2031</v>
      </c>
      <c r="H6" s="53">
        <v>2032</v>
      </c>
    </row>
    <row r="7" spans="1:8" x14ac:dyDescent="0.35">
      <c r="A7" s="51" t="s">
        <v>31</v>
      </c>
      <c r="B7" s="45">
        <f>'Ligne de crédit'!B8</f>
        <v>8435714.2857142854</v>
      </c>
      <c r="C7" s="45">
        <f>'Ligne de crédit'!C8</f>
        <v>9171428.5714285709</v>
      </c>
      <c r="D7" s="45">
        <f>'Ligne de crédit'!D8</f>
        <v>9106500</v>
      </c>
      <c r="E7" s="45">
        <f>'Ligne de crédit'!E8</f>
        <v>8891590.7142857146</v>
      </c>
      <c r="F7" s="45">
        <f>'Ligne de crédit'!F8</f>
        <v>8444200.1357142851</v>
      </c>
      <c r="G7" s="45">
        <f>'Ligne de crédit'!G8</f>
        <v>7684302.7030714275</v>
      </c>
      <c r="H7" s="45">
        <f>'Ligne de crédit'!H8</f>
        <v>36684283.382463992</v>
      </c>
    </row>
    <row r="8" spans="1:8" x14ac:dyDescent="0.35">
      <c r="A8" s="51" t="s">
        <v>32</v>
      </c>
      <c r="B8" s="45">
        <f>'Dette senior'!B8</f>
        <v>85714285.714285716</v>
      </c>
      <c r="C8" s="45">
        <f>'Dette senior'!C8</f>
        <v>71428571.428571433</v>
      </c>
      <c r="D8" s="45">
        <f>'Dette senior'!D8</f>
        <v>57142857.142857149</v>
      </c>
      <c r="E8" s="45">
        <f>'Dette senior'!E8</f>
        <v>42857142.857142866</v>
      </c>
      <c r="F8" s="45">
        <f>'Dette senior'!F8</f>
        <v>28571428.571428582</v>
      </c>
      <c r="G8" s="45">
        <f>'Dette senior'!G8</f>
        <v>14285714.285714297</v>
      </c>
      <c r="H8" s="45">
        <f>'Dette senior'!H8</f>
        <v>0</v>
      </c>
    </row>
    <row r="9" spans="1:8" x14ac:dyDescent="0.35">
      <c r="A9" s="51" t="s">
        <v>53</v>
      </c>
      <c r="B9" s="47">
        <f>'Dette Mezzanine'!B11</f>
        <v>51000000</v>
      </c>
      <c r="C9" s="47">
        <f>'Dette Mezzanine'!C11</f>
        <v>52020000</v>
      </c>
      <c r="D9" s="47">
        <f>'Dette Mezzanine'!D11</f>
        <v>53060400</v>
      </c>
      <c r="E9" s="47">
        <f>'Dette Mezzanine'!E11</f>
        <v>54121608</v>
      </c>
      <c r="F9" s="47">
        <f>'Dette Mezzanine'!F11</f>
        <v>55204040.159999996</v>
      </c>
      <c r="G9" s="47">
        <f>'Dette Mezzanine'!G11</f>
        <v>56308120.963199995</v>
      </c>
      <c r="H9" s="47">
        <f>'Dette Mezzanine'!H11</f>
        <v>0</v>
      </c>
    </row>
    <row r="10" spans="1:8" x14ac:dyDescent="0.35">
      <c r="A10" s="51" t="s">
        <v>33</v>
      </c>
      <c r="B10" s="47">
        <f>'Prêt Terme B'!B10</f>
        <v>74250000</v>
      </c>
      <c r="C10" s="47">
        <f>'Prêt Terme B'!C10</f>
        <v>73500000</v>
      </c>
      <c r="D10" s="47">
        <f>'Prêt Terme B'!D10</f>
        <v>72750000</v>
      </c>
      <c r="E10" s="47">
        <f>'Prêt Terme B'!E10</f>
        <v>72000000</v>
      </c>
      <c r="F10" s="47">
        <f>'Prêt Terme B'!F10</f>
        <v>71250000</v>
      </c>
      <c r="G10" s="47">
        <f>'Prêt Terme B'!G10</f>
        <v>70500000</v>
      </c>
      <c r="H10" s="47">
        <f>'Prêt Terme B'!H10</f>
        <v>0</v>
      </c>
    </row>
    <row r="11" spans="1:8" x14ac:dyDescent="0.35">
      <c r="A11" s="63" t="s">
        <v>34</v>
      </c>
      <c r="B11" s="45">
        <f>SUM(B7:B10)</f>
        <v>219400000</v>
      </c>
      <c r="C11" s="45">
        <f t="shared" ref="C11:H11" si="0">SUM(C7:C10)</f>
        <v>206120000</v>
      </c>
      <c r="D11" s="45">
        <f t="shared" si="0"/>
        <v>192059757.14285713</v>
      </c>
      <c r="E11" s="45">
        <f t="shared" si="0"/>
        <v>177870341.5714286</v>
      </c>
      <c r="F11" s="45">
        <f t="shared" si="0"/>
        <v>163469668.86714286</v>
      </c>
      <c r="G11" s="45">
        <f t="shared" si="0"/>
        <v>148778137.95198572</v>
      </c>
      <c r="H11" s="45">
        <f t="shared" si="0"/>
        <v>36684283.382463992</v>
      </c>
    </row>
    <row r="13" spans="1:8" x14ac:dyDescent="0.35">
      <c r="A13" s="52" t="s">
        <v>54</v>
      </c>
    </row>
    <row r="14" spans="1:8" x14ac:dyDescent="0.35">
      <c r="A14" s="51" t="s">
        <v>31</v>
      </c>
      <c r="B14" s="45">
        <f>'Ligne de crédit'!B12</f>
        <v>382137.85714285716</v>
      </c>
      <c r="C14" s="45">
        <f>'Ligne de crédit'!C12</f>
        <v>415465.71428571426</v>
      </c>
      <c r="D14" s="45">
        <f>'Ligne de crédit'!D12</f>
        <v>412524.45</v>
      </c>
      <c r="E14" s="45">
        <f>'Ligne de crédit'!E12</f>
        <v>402789.05935714289</v>
      </c>
      <c r="F14" s="45">
        <f>'Ligne de crédit'!F12</f>
        <v>382522.26614785712</v>
      </c>
      <c r="G14" s="45">
        <f>'Ligne de crédit'!G12</f>
        <v>348098.91244913568</v>
      </c>
      <c r="H14" s="45">
        <f>'Ligne de crédit'!H12</f>
        <v>1661798.0372256187</v>
      </c>
    </row>
    <row r="15" spans="1:8" x14ac:dyDescent="0.35">
      <c r="A15" s="51" t="s">
        <v>32</v>
      </c>
      <c r="B15" s="45">
        <f>'Dette senior'!B9</f>
        <v>4030000.0000000005</v>
      </c>
      <c r="C15" s="45">
        <f>'Dette senior'!C9</f>
        <v>3454285.7142857146</v>
      </c>
      <c r="D15" s="45">
        <f>'Dette senior'!D9</f>
        <v>2878571.4285714291</v>
      </c>
      <c r="E15" s="45">
        <f>'Dette senior'!E9</f>
        <v>2302857.1428571432</v>
      </c>
      <c r="F15" s="45">
        <f>'Dette senior'!F9</f>
        <v>1727142.8571428575</v>
      </c>
      <c r="G15" s="45">
        <f>'Dette senior'!G9</f>
        <v>1151428.5714285718</v>
      </c>
      <c r="H15" s="45">
        <f>'Dette senior'!H9</f>
        <v>575714.28571428615</v>
      </c>
    </row>
    <row r="16" spans="1:8" x14ac:dyDescent="0.35">
      <c r="A16" s="51" t="s">
        <v>55</v>
      </c>
      <c r="B16" s="45">
        <f>'Dette Mezzanine'!B7</f>
        <v>3500000.0000000005</v>
      </c>
      <c r="C16" s="45">
        <f>'Dette Mezzanine'!C7</f>
        <v>3570000.0000000005</v>
      </c>
      <c r="D16" s="45">
        <f>'Dette Mezzanine'!D7</f>
        <v>3641400.0000000005</v>
      </c>
      <c r="E16" s="45">
        <f>'Dette Mezzanine'!E7</f>
        <v>3714228.0000000005</v>
      </c>
      <c r="F16" s="45">
        <f>'Dette Mezzanine'!F7</f>
        <v>3788512.5600000005</v>
      </c>
      <c r="G16" s="45">
        <f>'Dette Mezzanine'!G7</f>
        <v>3864282.8112000003</v>
      </c>
      <c r="H16" s="45">
        <f>'Dette Mezzanine'!H7</f>
        <v>3941568.4674240001</v>
      </c>
    </row>
    <row r="17" spans="1:8" x14ac:dyDescent="0.35">
      <c r="A17" s="51" t="s">
        <v>33</v>
      </c>
      <c r="B17" s="45">
        <f>'Prêt Terme B'!B11</f>
        <v>4522500</v>
      </c>
      <c r="C17" s="45">
        <f>'Prêt Terme B'!C11</f>
        <v>4477275</v>
      </c>
      <c r="D17" s="45">
        <f>'Prêt Terme B'!D11</f>
        <v>4432050</v>
      </c>
      <c r="E17" s="45">
        <f>'Prêt Terme B'!E11</f>
        <v>4386825</v>
      </c>
      <c r="F17" s="45">
        <f>'Prêt Terme B'!F11</f>
        <v>4341600</v>
      </c>
      <c r="G17" s="45">
        <f>'Prêt Terme B'!G11</f>
        <v>4296375</v>
      </c>
      <c r="H17" s="45">
        <f>'Prêt Terme B'!H11</f>
        <v>4251150</v>
      </c>
    </row>
    <row r="18" spans="1:8" x14ac:dyDescent="0.35">
      <c r="A18" s="63" t="s">
        <v>35</v>
      </c>
      <c r="B18" s="45">
        <f>SUM(B14:B17)</f>
        <v>12434637.857142858</v>
      </c>
      <c r="C18" s="45">
        <f t="shared" ref="C18:H18" si="1">SUM(C14:C17)</f>
        <v>11917026.428571429</v>
      </c>
      <c r="D18" s="45">
        <f t="shared" si="1"/>
        <v>11364545.87857143</v>
      </c>
      <c r="E18" s="45">
        <f t="shared" si="1"/>
        <v>10806699.202214286</v>
      </c>
      <c r="F18" s="45">
        <f t="shared" si="1"/>
        <v>10239777.683290716</v>
      </c>
      <c r="G18" s="45">
        <f t="shared" si="1"/>
        <v>9660185.2950777076</v>
      </c>
      <c r="H18" s="45">
        <f t="shared" si="1"/>
        <v>10430230.790363904</v>
      </c>
    </row>
    <row r="20" spans="1:8" x14ac:dyDescent="0.35">
      <c r="A20" s="52" t="s">
        <v>56</v>
      </c>
    </row>
    <row r="21" spans="1:8" x14ac:dyDescent="0.35">
      <c r="A21" s="51" t="s">
        <v>36</v>
      </c>
      <c r="B21" s="45">
        <v>30000000</v>
      </c>
      <c r="C21" s="45">
        <f>B21*(1+5%)</f>
        <v>31500000</v>
      </c>
      <c r="D21" s="45">
        <f t="shared" ref="D21:H21" si="2">C21*(1+5%)</f>
        <v>33075000</v>
      </c>
      <c r="E21" s="45">
        <f t="shared" si="2"/>
        <v>34728750</v>
      </c>
      <c r="F21" s="45">
        <f t="shared" si="2"/>
        <v>36465187.5</v>
      </c>
      <c r="G21" s="45">
        <f t="shared" si="2"/>
        <v>38288446.875</v>
      </c>
      <c r="H21" s="45">
        <f t="shared" si="2"/>
        <v>40202869.21875</v>
      </c>
    </row>
    <row r="22" spans="1:8" x14ac:dyDescent="0.35">
      <c r="A22" s="51" t="s">
        <v>57</v>
      </c>
      <c r="B22" s="45">
        <v>8000000</v>
      </c>
      <c r="C22" s="45">
        <v>8000000</v>
      </c>
      <c r="D22" s="45">
        <v>8000000</v>
      </c>
      <c r="E22" s="45">
        <v>8000000</v>
      </c>
      <c r="F22" s="45">
        <v>8000000</v>
      </c>
      <c r="G22" s="45">
        <v>8000000</v>
      </c>
      <c r="H22" s="45">
        <v>8000000</v>
      </c>
    </row>
    <row r="23" spans="1:8" x14ac:dyDescent="0.35">
      <c r="A23" s="51" t="s">
        <v>58</v>
      </c>
      <c r="B23" s="47">
        <f>'Flux de trésorerie'!B16</f>
        <v>0</v>
      </c>
      <c r="C23" s="47">
        <f>'Flux de trésorerie'!C16</f>
        <v>0</v>
      </c>
      <c r="D23" s="47">
        <f>'Flux de trésorerie'!D16</f>
        <v>2099357.1428571432</v>
      </c>
      <c r="E23" s="47">
        <f>'Flux de trésorerie'!E16</f>
        <v>6948733.5714285728</v>
      </c>
      <c r="F23" s="47">
        <f>'Flux de trésorerie'!F16</f>
        <v>14465628.70714286</v>
      </c>
      <c r="G23" s="47">
        <f>'Flux de trésorerie'!G16</f>
        <v>24570016.988785718</v>
      </c>
      <c r="H23" s="47">
        <f>'Flux de trésorerie'!H16</f>
        <v>0</v>
      </c>
    </row>
    <row r="25" spans="1:8" x14ac:dyDescent="0.35">
      <c r="A25" s="52" t="s">
        <v>59</v>
      </c>
    </row>
    <row r="26" spans="1:8" x14ac:dyDescent="0.35">
      <c r="A26" s="51" t="s">
        <v>60</v>
      </c>
      <c r="B26" s="45">
        <f>B21/B18</f>
        <v>2.4126154975045799</v>
      </c>
      <c r="C26" s="45">
        <f t="shared" ref="C26:H26" si="3">C21/C18</f>
        <v>2.6432768433304639</v>
      </c>
      <c r="D26" s="45">
        <f t="shared" si="3"/>
        <v>2.9103670620367685</v>
      </c>
      <c r="E26" s="45">
        <f t="shared" si="3"/>
        <v>3.2136315955647308</v>
      </c>
      <c r="F26" s="45">
        <f t="shared" si="3"/>
        <v>3.5611307811402924</v>
      </c>
      <c r="G26" s="45">
        <f t="shared" si="3"/>
        <v>3.9635313097472014</v>
      </c>
      <c r="H26" s="45">
        <f t="shared" si="3"/>
        <v>3.8544563420295463</v>
      </c>
    </row>
    <row r="27" spans="1:8" x14ac:dyDescent="0.35">
      <c r="A27" s="51" t="s">
        <v>61</v>
      </c>
      <c r="B27" s="45">
        <f>B11/B21</f>
        <v>7.3133333333333335</v>
      </c>
      <c r="C27" s="45">
        <f t="shared" ref="C27:H27" si="4">C11/C21</f>
        <v>6.5434920634920637</v>
      </c>
      <c r="D27" s="45">
        <f t="shared" si="4"/>
        <v>5.8067953784688475</v>
      </c>
      <c r="E27" s="45">
        <f t="shared" si="4"/>
        <v>5.1217029571012089</v>
      </c>
      <c r="F27" s="45">
        <f t="shared" si="4"/>
        <v>4.4828967043469294</v>
      </c>
      <c r="G27" s="45">
        <f t="shared" si="4"/>
        <v>3.8857188027944973</v>
      </c>
      <c r="H27" s="45">
        <f t="shared" si="4"/>
        <v>0.91247923581919388</v>
      </c>
    </row>
    <row r="28" spans="1:8" x14ac:dyDescent="0.35">
      <c r="A28" s="51" t="s">
        <v>62</v>
      </c>
      <c r="B28" s="45">
        <f>(B21 - B22) / (B18 + 'Flux de trésorerie'!B11)</f>
        <v>0.80086341396684479</v>
      </c>
      <c r="C28" s="45">
        <f>(C21 - C22) / (C18 + 'Flux de trésorerie'!C11)</f>
        <v>0.87189648908484974</v>
      </c>
      <c r="D28" s="45">
        <f>(D21 - D22) / (D18 + 'Flux de trésorerie'!D11)</f>
        <v>0.94980124604686555</v>
      </c>
      <c r="E28" s="45">
        <f>(E21 - E22) / (E18 + 'Flux de trésorerie'!E11)</f>
        <v>1.0342977451577986</v>
      </c>
      <c r="F28" s="45">
        <f>(F21 - F22) / (F18 + 'Flux de trésorerie'!F11)</f>
        <v>1.1261971689772241</v>
      </c>
      <c r="G28" s="45">
        <f>(G21 - G22) / (G18 + 'Flux de trésorerie'!G11)</f>
        <v>1.2264565125846958</v>
      </c>
      <c r="H28" s="45">
        <f>(H21 - H22) / (H18 + 'Flux de trésorerie'!H11)</f>
        <v>0.38845332295862645</v>
      </c>
    </row>
  </sheetData>
  <mergeCells count="1">
    <mergeCell ref="C1: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BEF69-CD06-44E3-B13E-973F455BCD2B}">
  <dimension ref="A1:H16"/>
  <sheetViews>
    <sheetView tabSelected="1" workbookViewId="0">
      <selection activeCell="J7" sqref="J7"/>
    </sheetView>
  </sheetViews>
  <sheetFormatPr baseColWidth="10" defaultRowHeight="15.5" x14ac:dyDescent="0.35"/>
  <cols>
    <col min="1" max="1" width="33.36328125" style="41" customWidth="1"/>
    <col min="2" max="8" width="11.81640625" style="32" bestFit="1" customWidth="1"/>
    <col min="9" max="16384" width="10.90625" style="32"/>
  </cols>
  <sheetData>
    <row r="1" spans="1:8" x14ac:dyDescent="0.35">
      <c r="A1" s="42"/>
    </row>
    <row r="3" spans="1:8" x14ac:dyDescent="0.35">
      <c r="B3" s="44"/>
      <c r="C3" s="33"/>
      <c r="D3" s="33"/>
      <c r="E3" s="44"/>
      <c r="F3" s="44"/>
      <c r="G3" s="44"/>
      <c r="H3" s="44"/>
    </row>
    <row r="4" spans="1:8" x14ac:dyDescent="0.35">
      <c r="A4" s="42"/>
    </row>
    <row r="5" spans="1:8" x14ac:dyDescent="0.35">
      <c r="A5" s="52" t="s">
        <v>11</v>
      </c>
      <c r="B5" s="66" cm="1">
        <f t="array" ref="B5:H5">_xlfn.SEQUENCE(1,7,2026,1)</f>
        <v>2026</v>
      </c>
      <c r="C5" s="66">
        <v>2027</v>
      </c>
      <c r="D5" s="66">
        <v>2028</v>
      </c>
      <c r="E5" s="66">
        <v>2029</v>
      </c>
      <c r="F5" s="66">
        <v>2030</v>
      </c>
      <c r="G5" s="66">
        <v>2031</v>
      </c>
      <c r="H5" s="66">
        <v>2032</v>
      </c>
    </row>
    <row r="6" spans="1:8" x14ac:dyDescent="0.35">
      <c r="A6" s="51" t="s">
        <v>2</v>
      </c>
      <c r="B6" s="67">
        <v>200000</v>
      </c>
      <c r="C6" s="67">
        <f>B16</f>
        <v>0</v>
      </c>
      <c r="D6" s="67">
        <f t="shared" ref="D6:H6" si="0">C16</f>
        <v>0</v>
      </c>
      <c r="E6" s="67">
        <f t="shared" si="0"/>
        <v>2099357.1428571432</v>
      </c>
      <c r="F6" s="67">
        <f t="shared" si="0"/>
        <v>6948733.5714285728</v>
      </c>
      <c r="G6" s="67">
        <f t="shared" si="0"/>
        <v>14465628.70714286</v>
      </c>
      <c r="H6" s="67">
        <f t="shared" si="0"/>
        <v>24570016.988785718</v>
      </c>
    </row>
    <row r="7" spans="1:8" x14ac:dyDescent="0.35">
      <c r="A7" s="51" t="s">
        <v>3</v>
      </c>
      <c r="B7" s="67">
        <v>12000000</v>
      </c>
      <c r="C7" s="67">
        <v>15000000</v>
      </c>
      <c r="D7" s="67">
        <v>18000000</v>
      </c>
      <c r="E7" s="67">
        <v>21000000</v>
      </c>
      <c r="F7" s="67">
        <v>24000000</v>
      </c>
      <c r="G7" s="67">
        <v>27000000</v>
      </c>
      <c r="H7" s="67">
        <v>30000000</v>
      </c>
    </row>
    <row r="8" spans="1:8" x14ac:dyDescent="0.35">
      <c r="A8" s="51" t="s">
        <v>4</v>
      </c>
      <c r="B8" s="67">
        <v>-500000</v>
      </c>
      <c r="C8" s="67">
        <v>-600000</v>
      </c>
      <c r="D8" s="67">
        <v>-700000</v>
      </c>
      <c r="E8" s="67">
        <v>-800000</v>
      </c>
      <c r="F8" s="67">
        <v>-900000</v>
      </c>
      <c r="G8" s="67">
        <v>-1000000</v>
      </c>
      <c r="H8" s="67">
        <v>-11000000</v>
      </c>
    </row>
    <row r="9" spans="1:8" x14ac:dyDescent="0.35">
      <c r="A9" s="51" t="s">
        <v>1</v>
      </c>
      <c r="B9" s="67">
        <f>Hypothèses!$B$34</f>
        <v>100000</v>
      </c>
      <c r="C9" s="67">
        <f>Hypothèses!$B$34</f>
        <v>100000</v>
      </c>
      <c r="D9" s="67">
        <f>Hypothèses!$B$34</f>
        <v>100000</v>
      </c>
      <c r="E9" s="67">
        <f>Hypothèses!$B$34</f>
        <v>100000</v>
      </c>
      <c r="F9" s="67">
        <f>Hypothèses!$B$34</f>
        <v>100000</v>
      </c>
      <c r="G9" s="67">
        <f>Hypothèses!$B$34</f>
        <v>100000</v>
      </c>
      <c r="H9" s="67">
        <f>Hypothèses!$B$34</f>
        <v>100000</v>
      </c>
    </row>
    <row r="10" spans="1:8" x14ac:dyDescent="0.35">
      <c r="A10" s="51" t="s">
        <v>37</v>
      </c>
      <c r="B10" s="67">
        <f>B6+B7+B8-B9</f>
        <v>11600000</v>
      </c>
      <c r="C10" s="67">
        <f t="shared" ref="C10:H10" si="1">C6+C7+C8-C9</f>
        <v>14300000</v>
      </c>
      <c r="D10" s="67">
        <f t="shared" si="1"/>
        <v>17200000</v>
      </c>
      <c r="E10" s="67">
        <f t="shared" si="1"/>
        <v>22199357.142857142</v>
      </c>
      <c r="F10" s="67">
        <f t="shared" si="1"/>
        <v>29948733.571428575</v>
      </c>
      <c r="G10" s="67">
        <f t="shared" si="1"/>
        <v>40365628.70714286</v>
      </c>
      <c r="H10" s="67">
        <f t="shared" si="1"/>
        <v>43470016.988785714</v>
      </c>
    </row>
    <row r="11" spans="1:8" x14ac:dyDescent="0.35">
      <c r="A11" s="51" t="s">
        <v>63</v>
      </c>
      <c r="B11" s="67">
        <f>'Dette senior'!B7 + 'Prêt Terme B'!B7 + 'Prêt Terme B'!B9 + 'Dette Mezzanine'!B10</f>
        <v>15035714.285714285</v>
      </c>
      <c r="C11" s="67">
        <f>'Dette senior'!C7+'Prêt Terme B'!C7+'Dette Mezzanine'!C10</f>
        <v>15035714.285714285</v>
      </c>
      <c r="D11" s="67">
        <f>'Dette senior'!D7+'Prêt Terme B'!D7+'Dette Mezzanine'!D10</f>
        <v>15035714.285714285</v>
      </c>
      <c r="E11" s="67">
        <f>'Dette senior'!E7+'Prêt Terme B'!E7+'Dette Mezzanine'!E10</f>
        <v>15035714.285714285</v>
      </c>
      <c r="F11" s="67">
        <f>'Dette senior'!F7+'Prêt Terme B'!F7+'Dette Mezzanine'!F10</f>
        <v>15035714.285714285</v>
      </c>
      <c r="G11" s="67">
        <f>'Dette senior'!G7+'Prêt Terme B'!G7+'Dette Mezzanine'!G10</f>
        <v>15035714.285714285</v>
      </c>
      <c r="H11" s="67">
        <f>'Dette senior'!H7+'Prêt Terme B'!H7+'Dette Mezzanine'!H10</f>
        <v>72469997.668178275</v>
      </c>
    </row>
    <row r="12" spans="1:8" x14ac:dyDescent="0.35">
      <c r="A12" s="51" t="s">
        <v>38</v>
      </c>
      <c r="B12" s="67">
        <f>B10-B11</f>
        <v>-3435714.2857142854</v>
      </c>
      <c r="C12" s="67">
        <f t="shared" ref="C12:H12" si="2">C10-C11</f>
        <v>-735714.28571428545</v>
      </c>
      <c r="D12" s="67">
        <f t="shared" si="2"/>
        <v>2164285.7142857146</v>
      </c>
      <c r="E12" s="67">
        <f t="shared" si="2"/>
        <v>7163642.8571428563</v>
      </c>
      <c r="F12" s="67">
        <f t="shared" si="2"/>
        <v>14913019.285714289</v>
      </c>
      <c r="G12" s="67">
        <f t="shared" si="2"/>
        <v>25329914.421428576</v>
      </c>
      <c r="H12" s="67">
        <f t="shared" si="2"/>
        <v>-28999980.679392561</v>
      </c>
    </row>
    <row r="13" spans="1:8" x14ac:dyDescent="0.35">
      <c r="A13" s="51" t="s">
        <v>39</v>
      </c>
      <c r="B13" s="67">
        <f>IF(B12&gt;0, -B12*Hypothèses!$B$33, 0)</f>
        <v>0</v>
      </c>
      <c r="C13" s="67">
        <f>IF(C12&gt;0, -C12*Hypothèses!$B$33, 0)</f>
        <v>0</v>
      </c>
      <c r="D13" s="67">
        <f>IF(D12&gt;0, -D12*Hypothèses!$B$33, 0)</f>
        <v>-64928.571428571435</v>
      </c>
      <c r="E13" s="67">
        <f>IF(E12&gt;0, -E12*Hypothèses!$B$33, 0)</f>
        <v>-214909.28571428568</v>
      </c>
      <c r="F13" s="67">
        <f>IF(F12&gt;0, -F12*Hypothèses!$B$33, 0)</f>
        <v>-447390.57857142866</v>
      </c>
      <c r="G13" s="67">
        <f>IF(G12&gt;0, -G12*Hypothèses!$B$33, 0)</f>
        <v>-759897.43264285731</v>
      </c>
      <c r="H13" s="67">
        <f>IF(H12&gt;0, -H12*Hypothèses!$B$33, 0)</f>
        <v>0</v>
      </c>
    </row>
    <row r="14" spans="1:8" x14ac:dyDescent="0.35">
      <c r="A14" s="51" t="s">
        <v>64</v>
      </c>
      <c r="B14" s="67">
        <f>IF(B12&lt;0, -B12, 0)</f>
        <v>3435714.2857142854</v>
      </c>
      <c r="C14" s="67">
        <f t="shared" ref="C14:H14" si="3">IF(C12&lt;0, -C12, 0)</f>
        <v>735714.28571428545</v>
      </c>
      <c r="D14" s="67">
        <f t="shared" si="3"/>
        <v>0</v>
      </c>
      <c r="E14" s="67">
        <f t="shared" si="3"/>
        <v>0</v>
      </c>
      <c r="F14" s="67">
        <f t="shared" si="3"/>
        <v>0</v>
      </c>
      <c r="G14" s="67">
        <f t="shared" si="3"/>
        <v>0</v>
      </c>
      <c r="H14" s="67">
        <f t="shared" si="3"/>
        <v>28999980.679392561</v>
      </c>
    </row>
    <row r="15" spans="1:8" x14ac:dyDescent="0.35">
      <c r="A15" s="51" t="s">
        <v>5</v>
      </c>
      <c r="B15" s="67">
        <f>B7+B8-B9-B11+B13+B14</f>
        <v>-200000</v>
      </c>
      <c r="C15" s="67">
        <f t="shared" ref="C15:H15" si="4">C7+C8-C9-C11+C13+C14</f>
        <v>0</v>
      </c>
      <c r="D15" s="67">
        <f t="shared" si="4"/>
        <v>2099357.1428571432</v>
      </c>
      <c r="E15" s="67">
        <f t="shared" si="4"/>
        <v>4849376.4285714291</v>
      </c>
      <c r="F15" s="67">
        <f t="shared" si="4"/>
        <v>7516895.135714286</v>
      </c>
      <c r="G15" s="67">
        <f t="shared" si="4"/>
        <v>10104388.281642858</v>
      </c>
      <c r="H15" s="67">
        <f t="shared" si="4"/>
        <v>-24570016.988785714</v>
      </c>
    </row>
    <row r="16" spans="1:8" x14ac:dyDescent="0.35">
      <c r="A16" s="51" t="s">
        <v>6</v>
      </c>
      <c r="B16" s="67">
        <f>B6+B15</f>
        <v>0</v>
      </c>
      <c r="C16" s="67">
        <f t="shared" ref="C16:H16" si="5">C6+C15</f>
        <v>0</v>
      </c>
      <c r="D16" s="67">
        <f t="shared" si="5"/>
        <v>2099357.1428571432</v>
      </c>
      <c r="E16" s="67">
        <f t="shared" si="5"/>
        <v>6948733.5714285728</v>
      </c>
      <c r="F16" s="67">
        <f t="shared" si="5"/>
        <v>14465628.70714286</v>
      </c>
      <c r="G16" s="67">
        <f t="shared" si="5"/>
        <v>24570016.988785718</v>
      </c>
      <c r="H16" s="67">
        <f t="shared" si="5"/>
        <v>0</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Hypothèses</vt:lpstr>
      <vt:lpstr>Ligne de crédit</vt:lpstr>
      <vt:lpstr>Dette Mezzanine</vt:lpstr>
      <vt:lpstr>Prêt Terme B</vt:lpstr>
      <vt:lpstr>Dette senior</vt:lpstr>
      <vt:lpstr>Dette consolidée</vt:lpstr>
      <vt:lpstr>Flux de trésorerie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Hasnaa SAMMOUD</dc:creator>
  <cp:lastModifiedBy>Hasnaa SAMMOUD</cp:lastModifiedBy>
  <dcterms:created xsi:type="dcterms:W3CDTF">2026-03-04T23:18:55Z</dcterms:created>
  <dcterms:modified xsi:type="dcterms:W3CDTF">2026-03-05T21:42:53Z</dcterms:modified>
</cp:coreProperties>
</file>