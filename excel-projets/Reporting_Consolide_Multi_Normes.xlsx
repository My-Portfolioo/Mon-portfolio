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1F983F-BF6D-4A23-AEAE-A5BFF6C157CA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Dashboard" sheetId="1" r:id="rId1"/>
    <sheet name="TB_Mere_IFRS" sheetId="2" r:id="rId2"/>
    <sheet name="TB_FilialeA_IFRS" sheetId="3" r:id="rId3"/>
    <sheet name="TB_FilialeB_IFRS" sheetId="4" r:id="rId4"/>
    <sheet name="Consolidation_IFRS" sheetId="5" r:id="rId5"/>
    <sheet name="Adj_US_GAAP" sheetId="6" r:id="rId6"/>
    <sheet name="Adj_UK_GAAP" sheetId="7" r:id="rId7"/>
    <sheet name="Reconciliation_Bridge" sheetId="8" r:id="rId8"/>
    <sheet name="Financial_Statements" sheetId="9" r:id="rId9"/>
    <sheet name="Documentation_Techniqu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" l="1"/>
  <c r="D4" i="9"/>
  <c r="E4" i="9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3" i="8"/>
  <c r="D3" i="8"/>
  <c r="F2" i="8"/>
  <c r="D2" i="8"/>
  <c r="G37" i="5"/>
  <c r="I37" i="5" s="1"/>
  <c r="C37" i="8" s="1"/>
  <c r="F37" i="5"/>
  <c r="E37" i="5"/>
  <c r="I36" i="5"/>
  <c r="C36" i="8" s="1"/>
  <c r="G36" i="5"/>
  <c r="F36" i="5"/>
  <c r="E36" i="5"/>
  <c r="G35" i="5"/>
  <c r="I35" i="5" s="1"/>
  <c r="C35" i="8" s="1"/>
  <c r="F35" i="5"/>
  <c r="E35" i="5"/>
  <c r="G34" i="5"/>
  <c r="I34" i="5" s="1"/>
  <c r="C34" i="8" s="1"/>
  <c r="F34" i="5"/>
  <c r="E34" i="5"/>
  <c r="G33" i="5"/>
  <c r="I33" i="5" s="1"/>
  <c r="C33" i="8" s="1"/>
  <c r="F33" i="5"/>
  <c r="E33" i="5"/>
  <c r="G32" i="5"/>
  <c r="F32" i="5"/>
  <c r="I32" i="5" s="1"/>
  <c r="C32" i="8" s="1"/>
  <c r="E32" i="5"/>
  <c r="G31" i="5"/>
  <c r="I31" i="5" s="1"/>
  <c r="C31" i="8" s="1"/>
  <c r="F31" i="5"/>
  <c r="E31" i="5"/>
  <c r="G30" i="5"/>
  <c r="F30" i="5"/>
  <c r="I30" i="5" s="1"/>
  <c r="C30" i="8" s="1"/>
  <c r="E30" i="5"/>
  <c r="G29" i="5"/>
  <c r="F29" i="5"/>
  <c r="I29" i="5" s="1"/>
  <c r="C29" i="8" s="1"/>
  <c r="E29" i="5"/>
  <c r="G28" i="5"/>
  <c r="F28" i="5"/>
  <c r="E28" i="5"/>
  <c r="I27" i="5"/>
  <c r="C27" i="8" s="1"/>
  <c r="G27" i="5"/>
  <c r="F27" i="5"/>
  <c r="E27" i="5"/>
  <c r="G26" i="5"/>
  <c r="F26" i="5"/>
  <c r="E26" i="5"/>
  <c r="I25" i="5"/>
  <c r="C25" i="8" s="1"/>
  <c r="G25" i="5"/>
  <c r="F25" i="5"/>
  <c r="E25" i="5"/>
  <c r="G24" i="5"/>
  <c r="F24" i="5"/>
  <c r="E24" i="5"/>
  <c r="I24" i="5" s="1"/>
  <c r="C24" i="8" s="1"/>
  <c r="I23" i="5"/>
  <c r="C23" i="8" s="1"/>
  <c r="G23" i="5"/>
  <c r="F23" i="5"/>
  <c r="E23" i="5"/>
  <c r="G22" i="5"/>
  <c r="F22" i="5"/>
  <c r="E22" i="5"/>
  <c r="I22" i="5" s="1"/>
  <c r="C22" i="8" s="1"/>
  <c r="I21" i="5"/>
  <c r="C21" i="8" s="1"/>
  <c r="G21" i="5"/>
  <c r="F21" i="5"/>
  <c r="E21" i="5"/>
  <c r="G20" i="5"/>
  <c r="F20" i="5"/>
  <c r="E20" i="5"/>
  <c r="I20" i="5" s="1"/>
  <c r="C20" i="8" s="1"/>
  <c r="I19" i="5"/>
  <c r="C19" i="8" s="1"/>
  <c r="G19" i="5"/>
  <c r="F19" i="5"/>
  <c r="E19" i="5"/>
  <c r="G18" i="5"/>
  <c r="F18" i="5"/>
  <c r="E18" i="5"/>
  <c r="I18" i="5" s="1"/>
  <c r="C18" i="8" s="1"/>
  <c r="I17" i="5"/>
  <c r="C17" i="8" s="1"/>
  <c r="G17" i="5"/>
  <c r="F17" i="5"/>
  <c r="E17" i="5"/>
  <c r="G16" i="5"/>
  <c r="F16" i="5"/>
  <c r="E16" i="5"/>
  <c r="I16" i="5" s="1"/>
  <c r="C16" i="8" s="1"/>
  <c r="G15" i="5"/>
  <c r="F15" i="5"/>
  <c r="E15" i="5"/>
  <c r="H15" i="5" s="1"/>
  <c r="I15" i="5" s="1"/>
  <c r="C15" i="8" s="1"/>
  <c r="G14" i="5"/>
  <c r="F14" i="5"/>
  <c r="E14" i="5"/>
  <c r="I14" i="5" s="1"/>
  <c r="C14" i="8" s="1"/>
  <c r="G13" i="5"/>
  <c r="F13" i="5"/>
  <c r="E13" i="5"/>
  <c r="I13" i="5" s="1"/>
  <c r="C13" i="8" s="1"/>
  <c r="G12" i="5"/>
  <c r="F12" i="5"/>
  <c r="E12" i="5"/>
  <c r="I12" i="5" s="1"/>
  <c r="C12" i="8" s="1"/>
  <c r="G11" i="5"/>
  <c r="F11" i="5"/>
  <c r="E11" i="5"/>
  <c r="I11" i="5" s="1"/>
  <c r="C11" i="8" s="1"/>
  <c r="G10" i="5"/>
  <c r="F10" i="5"/>
  <c r="E10" i="5"/>
  <c r="I10" i="5" s="1"/>
  <c r="C10" i="8" s="1"/>
  <c r="G9" i="5"/>
  <c r="F9" i="5"/>
  <c r="E9" i="5"/>
  <c r="I9" i="5" s="1"/>
  <c r="C9" i="8" s="1"/>
  <c r="G8" i="5"/>
  <c r="F8" i="5"/>
  <c r="E8" i="5"/>
  <c r="I8" i="5" s="1"/>
  <c r="C8" i="8" s="1"/>
  <c r="G7" i="5"/>
  <c r="F7" i="5"/>
  <c r="E7" i="5"/>
  <c r="I7" i="5" s="1"/>
  <c r="C7" i="8" s="1"/>
  <c r="G6" i="5"/>
  <c r="F6" i="5"/>
  <c r="E6" i="5"/>
  <c r="I6" i="5" s="1"/>
  <c r="C6" i="8" s="1"/>
  <c r="G5" i="5"/>
  <c r="F5" i="5"/>
  <c r="E5" i="5"/>
  <c r="I5" i="5" s="1"/>
  <c r="C5" i="8" s="1"/>
  <c r="G4" i="5"/>
  <c r="F4" i="5"/>
  <c r="E4" i="5"/>
  <c r="G3" i="5"/>
  <c r="F3" i="5"/>
  <c r="E3" i="5"/>
  <c r="I3" i="5" s="1"/>
  <c r="C3" i="8" s="1"/>
  <c r="G2" i="5"/>
  <c r="F2" i="5"/>
  <c r="I2" i="5" s="1"/>
  <c r="C2" i="8" s="1"/>
  <c r="E2" i="5"/>
  <c r="C17" i="9" l="1"/>
  <c r="E3" i="8"/>
  <c r="D17" i="9" s="1"/>
  <c r="G3" i="8"/>
  <c r="E17" i="9" s="1"/>
  <c r="E11" i="8"/>
  <c r="G11" i="8"/>
  <c r="E27" i="8"/>
  <c r="D5" i="9" s="1"/>
  <c r="G27" i="8"/>
  <c r="E5" i="9" s="1"/>
  <c r="C5" i="9"/>
  <c r="C10" i="9"/>
  <c r="E30" i="8"/>
  <c r="D10" i="9" s="1"/>
  <c r="G30" i="8"/>
  <c r="E10" i="9" s="1"/>
  <c r="E35" i="8"/>
  <c r="D11" i="9" s="1"/>
  <c r="C11" i="9"/>
  <c r="G35" i="8"/>
  <c r="E11" i="9" s="1"/>
  <c r="C22" i="9"/>
  <c r="G14" i="8"/>
  <c r="E22" i="9" s="1"/>
  <c r="E14" i="8"/>
  <c r="D22" i="9" s="1"/>
  <c r="E25" i="8"/>
  <c r="G25" i="8"/>
  <c r="E9" i="8"/>
  <c r="G9" i="8"/>
  <c r="C25" i="9"/>
  <c r="G23" i="8"/>
  <c r="E25" i="9" s="1"/>
  <c r="E23" i="8"/>
  <c r="D25" i="9" s="1"/>
  <c r="E33" i="8"/>
  <c r="D8" i="9" s="1"/>
  <c r="C8" i="9"/>
  <c r="G33" i="8"/>
  <c r="E8" i="9" s="1"/>
  <c r="C19" i="9"/>
  <c r="E6" i="8"/>
  <c r="D19" i="9" s="1"/>
  <c r="G6" i="8"/>
  <c r="E19" i="9" s="1"/>
  <c r="I28" i="5"/>
  <c r="C28" i="8" s="1"/>
  <c r="E12" i="8"/>
  <c r="D21" i="9" s="1"/>
  <c r="C21" i="9"/>
  <c r="G12" i="8"/>
  <c r="E21" i="9" s="1"/>
  <c r="G21" i="8"/>
  <c r="E21" i="8"/>
  <c r="G24" i="8"/>
  <c r="E24" i="8"/>
  <c r="G7" i="8"/>
  <c r="E7" i="8"/>
  <c r="G15" i="8"/>
  <c r="E15" i="8"/>
  <c r="E19" i="8"/>
  <c r="G19" i="8"/>
  <c r="C24" i="9"/>
  <c r="E22" i="8"/>
  <c r="D24" i="9" s="1"/>
  <c r="G22" i="8"/>
  <c r="E24" i="9" s="1"/>
  <c r="G31" i="8"/>
  <c r="E31" i="8"/>
  <c r="E36" i="8"/>
  <c r="G36" i="8"/>
  <c r="G29" i="8"/>
  <c r="E6" i="9" s="1"/>
  <c r="C6" i="9"/>
  <c r="E29" i="8"/>
  <c r="D6" i="9" s="1"/>
  <c r="G34" i="8"/>
  <c r="E9" i="9" s="1"/>
  <c r="C9" i="9"/>
  <c r="E34" i="8"/>
  <c r="D9" i="9" s="1"/>
  <c r="G10" i="8"/>
  <c r="E20" i="9" s="1"/>
  <c r="C20" i="9"/>
  <c r="E10" i="8"/>
  <c r="D20" i="9" s="1"/>
  <c r="E17" i="8"/>
  <c r="G17" i="8"/>
  <c r="G2" i="8"/>
  <c r="E16" i="9" s="1"/>
  <c r="C16" i="9"/>
  <c r="E2" i="8"/>
  <c r="D16" i="9" s="1"/>
  <c r="G5" i="8"/>
  <c r="E18" i="9" s="1"/>
  <c r="E5" i="8"/>
  <c r="D18" i="9" s="1"/>
  <c r="C18" i="9"/>
  <c r="G13" i="8"/>
  <c r="E13" i="8"/>
  <c r="G18" i="8"/>
  <c r="E18" i="8"/>
  <c r="C7" i="9"/>
  <c r="G32" i="8"/>
  <c r="E7" i="9" s="1"/>
  <c r="E32" i="8"/>
  <c r="D7" i="9" s="1"/>
  <c r="E20" i="8"/>
  <c r="G20" i="8"/>
  <c r="G8" i="8"/>
  <c r="E8" i="8"/>
  <c r="G16" i="8"/>
  <c r="E23" i="9" s="1"/>
  <c r="E16" i="8"/>
  <c r="D23" i="9" s="1"/>
  <c r="C23" i="9"/>
  <c r="C12" i="9"/>
  <c r="G37" i="8"/>
  <c r="E12" i="9" s="1"/>
  <c r="E37" i="8"/>
  <c r="D12" i="9" s="1"/>
  <c r="H4" i="5"/>
  <c r="I4" i="5" s="1"/>
  <c r="C4" i="8" s="1"/>
  <c r="H26" i="5"/>
  <c r="I26" i="5" s="1"/>
  <c r="C26" i="8" s="1"/>
  <c r="H28" i="5"/>
  <c r="G26" i="8" l="1"/>
  <c r="E26" i="8"/>
  <c r="E4" i="8"/>
  <c r="G4" i="8"/>
  <c r="E13" i="9"/>
  <c r="D4" i="1" s="1"/>
  <c r="C13" i="9"/>
  <c r="B4" i="1" s="1"/>
  <c r="D5" i="1"/>
  <c r="D13" i="9"/>
  <c r="C4" i="1" s="1"/>
  <c r="C5" i="1"/>
  <c r="E28" i="8"/>
  <c r="G28" i="8"/>
  <c r="B5" i="1"/>
</calcChain>
</file>

<file path=xl/sharedStrings.xml><?xml version="1.0" encoding="utf-8"?>
<sst xmlns="http://schemas.openxmlformats.org/spreadsheetml/2006/main" count="567" uniqueCount="96">
  <si>
    <t>DASHBOARD DE SYNTHESE CONSOLIDEE</t>
  </si>
  <si>
    <t>KPI</t>
  </si>
  <si>
    <t>IFRS</t>
  </si>
  <si>
    <t>US GAAP</t>
  </si>
  <si>
    <t>UK GAAP</t>
  </si>
  <si>
    <t>Résultat Net</t>
  </si>
  <si>
    <t>Total Actif</t>
  </si>
  <si>
    <t>ID</t>
  </si>
  <si>
    <t>Compte</t>
  </si>
  <si>
    <t>Type</t>
  </si>
  <si>
    <t>Catégorie</t>
  </si>
  <si>
    <t>Solde_IFRS</t>
  </si>
  <si>
    <t>Trésorerie</t>
  </si>
  <si>
    <t>Actif</t>
  </si>
  <si>
    <t>Actif Courant</t>
  </si>
  <si>
    <t>Créances Clients</t>
  </si>
  <si>
    <t>Créances Inter-compagnies</t>
  </si>
  <si>
    <t>Stocks</t>
  </si>
  <si>
    <t>Immobilisations Corporelles (PPE)</t>
  </si>
  <si>
    <t>Actif Non Courant</t>
  </si>
  <si>
    <t>Amortissements PPE</t>
  </si>
  <si>
    <t>Droit d'utilisation (IFRS 16)</t>
  </si>
  <si>
    <t>Amortissement Droit d'utilisation</t>
  </si>
  <si>
    <t>Immobilisations Incorporelles</t>
  </si>
  <si>
    <t>Amortissements Incorporelles</t>
  </si>
  <si>
    <t>Goodwill</t>
  </si>
  <si>
    <t>Actifs d'impôt différé</t>
  </si>
  <si>
    <t>Dettes Fournisseurs</t>
  </si>
  <si>
    <t>Passif</t>
  </si>
  <si>
    <t>Passif Courant</t>
  </si>
  <si>
    <t>Dettes Inter-compagnies</t>
  </si>
  <si>
    <t>Dettes Financières Courantes</t>
  </si>
  <si>
    <t>Provisions Courantes</t>
  </si>
  <si>
    <t>Dettes de Location Courantes (IFRS 16)</t>
  </si>
  <si>
    <t>Dettes Financières Non Courantes</t>
  </si>
  <si>
    <t>Passif Non Courant</t>
  </si>
  <si>
    <t>Passifs d'impôt différé</t>
  </si>
  <si>
    <t>Dettes de Location Non Courantes (IFRS 16)</t>
  </si>
  <si>
    <t>Capital Social</t>
  </si>
  <si>
    <t>Capitaux Propres</t>
  </si>
  <si>
    <t>Réserves</t>
  </si>
  <si>
    <t>Résultat de l'exercice</t>
  </si>
  <si>
    <t>Chiffre d'affaires</t>
  </si>
  <si>
    <t>Produit</t>
  </si>
  <si>
    <t>Produits d'exploitation</t>
  </si>
  <si>
    <t>Ventes Inter-compagnies</t>
  </si>
  <si>
    <t>Coût des ventes</t>
  </si>
  <si>
    <t>Charge</t>
  </si>
  <si>
    <t>Charges d'exploitation</t>
  </si>
  <si>
    <t>Achats Inter-compagnies</t>
  </si>
  <si>
    <t>Frais de R&amp;D</t>
  </si>
  <si>
    <t>Charges de Personnel</t>
  </si>
  <si>
    <t>Frais de Marketing</t>
  </si>
  <si>
    <t>Frais Administratifs</t>
  </si>
  <si>
    <t>Charges Financières</t>
  </si>
  <si>
    <t>Charges d'intérêts sur dettes de location</t>
  </si>
  <si>
    <t>Impôts sur les bénéfices</t>
  </si>
  <si>
    <t>Impôts</t>
  </si>
  <si>
    <t>Mere_IFRS</t>
  </si>
  <si>
    <t>FilialeA_IFRS</t>
  </si>
  <si>
    <t>FilialeB_IFRS</t>
  </si>
  <si>
    <t>Eliminations</t>
  </si>
  <si>
    <t>IFRS_Consolide</t>
  </si>
  <si>
    <t>ID_Ajustement</t>
  </si>
  <si>
    <t>ID_Compte</t>
  </si>
  <si>
    <t>Debit</t>
  </si>
  <si>
    <t>Credit</t>
  </si>
  <si>
    <t>Description</t>
  </si>
  <si>
    <t>US_01</t>
  </si>
  <si>
    <t>Expensing R&amp;D capitalized under IFRS</t>
  </si>
  <si>
    <t>Reversing capitalized R&amp;D</t>
  </si>
  <si>
    <t>UK_01</t>
  </si>
  <si>
    <t>Goodwill Amortization (10 years)</t>
  </si>
  <si>
    <t>Accumulated Amortization Goodwill</t>
  </si>
  <si>
    <t>Adj_US_GAAP</t>
  </si>
  <si>
    <t>US_GAAP_Consolide</t>
  </si>
  <si>
    <t>Adj_UK_GAAP</t>
  </si>
  <si>
    <t>UK_GAAP_Consolide</t>
  </si>
  <si>
    <t>ETATS FINANCIERS CONSOLIDES COMPARATIFS</t>
  </si>
  <si>
    <t>COMPTE DE RESULTAT</t>
  </si>
  <si>
    <t>Amortissements</t>
  </si>
  <si>
    <t>RESULTAT NET</t>
  </si>
  <si>
    <t>BILAN CONSOLIDE</t>
  </si>
  <si>
    <t>Immobilisations Corporelles</t>
  </si>
  <si>
    <t>Dettes Financières</t>
  </si>
  <si>
    <t>PROJET : AUTOMATISATION REPORTING MULTI-NORMES</t>
  </si>
  <si>
    <t>1. METHODOLOGIE DE CONSOLIDATION</t>
  </si>
  <si>
    <t>- Agrégation des Balances de Vérification (TB) des 3 entités via SUMIF.</t>
  </si>
  <si>
    <t>- Élimination automatique des flux inter-compagnies (comptes 1110, 2010, 4100, 5100).</t>
  </si>
  <si>
    <t>2. LOGIQUE DE RECONCILIATION (BRIDGE)</t>
  </si>
  <si>
    <t>- IFRS -&gt; US GAAP : Retraitement des frais de R&amp;D capitalisés (IAS 38 vs ASC 730).</t>
  </si>
  <si>
    <t>- IFRS -&gt; UK GAAP : Amortissement systématique du Goodwill (FRS 102).</t>
  </si>
  <si>
    <t>3. FORMULES CLES UTILISEES</t>
  </si>
  <si>
    <t>- SUMIF / SOMME.SI : Pour l'agrégation dynamique des comptes.</t>
  </si>
  <si>
    <t>- Formules de liaison inter-feuilles pour garantir l'intégrité des données.</t>
  </si>
  <si>
    <t>- Tests de cohérence (Bilan équilibré) intégrés dans les états financiers.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</si>
</sst>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du Résultat Net par Norme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586444444444445"/>
          <c:y val="2.5835185185185187E-2"/>
          <c:w val="0.86413555555555555"/>
          <c:h val="0.73154370370370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IFRS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f>Dashboard!$B$3:$D$3</c:f>
              <c:strCache>
                <c:ptCount val="3"/>
                <c:pt idx="0">
                  <c:v>IFRS</c:v>
                </c:pt>
                <c:pt idx="1">
                  <c:v>US GAAP</c:v>
                </c:pt>
                <c:pt idx="2">
                  <c:v>UK GAAP</c:v>
                </c:pt>
              </c:strCache>
            </c:strRef>
          </c:cat>
          <c:val>
            <c:numRef>
              <c:f>Dashboard!$B$4</c:f>
              <c:numCache>
                <c:formatCode>General</c:formatCode>
                <c:ptCount val="1"/>
                <c:pt idx="0">
                  <c:v>4285683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1-4653-BE77-8625D301B5CA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US GAAP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f>Dashboard!$B$3:$D$3</c:f>
              <c:strCache>
                <c:ptCount val="3"/>
                <c:pt idx="0">
                  <c:v>IFRS</c:v>
                </c:pt>
                <c:pt idx="1">
                  <c:v>US GAAP</c:v>
                </c:pt>
                <c:pt idx="2">
                  <c:v>UK GAAP</c:v>
                </c:pt>
              </c:strCache>
            </c:strRef>
          </c:cat>
          <c:val>
            <c:numRef>
              <c:f>Dashboard!$C$4</c:f>
              <c:numCache>
                <c:formatCode>General</c:formatCode>
                <c:ptCount val="1"/>
                <c:pt idx="0">
                  <c:v>4310683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1-4653-BE77-8625D301B5CA}"/>
            </c:ext>
          </c:extLst>
        </c:ser>
        <c:ser>
          <c:idx val="2"/>
          <c:order val="2"/>
          <c:tx>
            <c:strRef>
              <c:f>Dashboard!$D$3</c:f>
              <c:strCache>
                <c:ptCount val="1"/>
                <c:pt idx="0">
                  <c:v>UK GAAP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f>Dashboard!$B$3:$D$3</c:f>
              <c:strCache>
                <c:ptCount val="3"/>
                <c:pt idx="0">
                  <c:v>IFRS</c:v>
                </c:pt>
                <c:pt idx="1">
                  <c:v>US GAAP</c:v>
                </c:pt>
                <c:pt idx="2">
                  <c:v>UK GAAP</c:v>
                </c:pt>
              </c:strCache>
            </c:strRef>
          </c:cat>
          <c:val>
            <c:numRef>
              <c:f>Dashboard!$D$4</c:f>
              <c:numCache>
                <c:formatCode>General</c:formatCode>
                <c:ptCount val="1"/>
                <c:pt idx="0">
                  <c:v>4295683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1-4653-BE77-8625D301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177800</xdr:colOff>
      <xdr:row>2</xdr:row>
      <xdr:rowOff>146050</xdr:rowOff>
    </xdr:from>
    <xdr:ext cx="4991100" cy="2768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9DDA5-6649-4182-942F-8AAEE8EED147}" name="Tableau1" displayName="Tableau1" ref="A3:D5" totalsRowShown="0" headerRowDxfId="0" dataDxfId="1">
  <autoFilter ref="A3:D5" xr:uid="{C7C9DDA5-6649-4182-942F-8AAEE8EED147}"/>
  <tableColumns count="4">
    <tableColumn id="1" xr3:uid="{B1F95422-0CCA-4F77-9D5A-15F07CB0127E}" name="KPI" dataDxfId="5"/>
    <tableColumn id="2" xr3:uid="{62984402-1C03-4C98-947C-3191667A4F4A}" name="IFRS" dataDxfId="4">
      <calculatedColumnFormula>SUM(Financial_Statements!C16:C21)</calculatedColumnFormula>
    </tableColumn>
    <tableColumn id="3" xr3:uid="{82ABB95B-C96E-4721-AEC9-F8EE81F4F715}" name="US GAAP" dataDxfId="3">
      <calculatedColumnFormula>SUM(Financial_Statements!D16:D21)</calculatedColumnFormula>
    </tableColumn>
    <tableColumn id="4" xr3:uid="{E08D8444-907E-4CEA-9168-84B76B1A3CAA}" name="UK GAAP" dataDxfId="2">
      <calculatedColumnFormula>SUM(Financial_Statements!E16:E21)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23B30-FE56-455B-B8E4-D21B82A1E1A6}" name="Tableau2" displayName="Tableau2" ref="A1:E37" totalsRowShown="0">
  <autoFilter ref="A1:E37" xr:uid="{27823B30-FE56-455B-B8E4-D21B82A1E1A6}"/>
  <tableColumns count="5">
    <tableColumn id="1" xr3:uid="{5758B78D-07D2-44B1-BEF0-14B23E919417}" name="ID"/>
    <tableColumn id="2" xr3:uid="{2C836A5A-3948-4AD1-B5E6-DB23CBAC4B6E}" name="Compte"/>
    <tableColumn id="3" xr3:uid="{AFAD13D9-3068-4C78-9677-4B5BD9E5C8D7}" name="Type"/>
    <tableColumn id="4" xr3:uid="{0A6AFC7C-A505-43D6-8F61-2FA439B2474B}" name="Catégorie"/>
    <tableColumn id="5" xr3:uid="{8A2B7794-0CA5-4A2D-86CF-1623DCCBC7D6}" name="Solde_IFRS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7200AA-1A8B-40A0-9571-1800464690C7}" name="Tableau3" displayName="Tableau3" ref="A1:E37" totalsRowShown="0">
  <autoFilter ref="A1:E37" xr:uid="{387200AA-1A8B-40A0-9571-1800464690C7}"/>
  <tableColumns count="5">
    <tableColumn id="1" xr3:uid="{4898B349-542D-4F64-98A0-40C565A4002C}" name="ID"/>
    <tableColumn id="2" xr3:uid="{DE2AB46E-081F-4816-851B-967DCE88D55D}" name="Compte"/>
    <tableColumn id="3" xr3:uid="{4532546B-4527-4C26-8B82-3217E7139B1E}" name="Type"/>
    <tableColumn id="4" xr3:uid="{5EFFBEA8-CDB8-45EA-A650-A1FD4FE82093}" name="Catégorie"/>
    <tableColumn id="5" xr3:uid="{58E09CD7-5089-4042-B88A-903668C4995D}" name="Solde_IFR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F77BE-C24D-420C-A0E1-40B28679578D}" name="Tableau4" displayName="Tableau4" ref="A1:E37" totalsRowShown="0">
  <autoFilter ref="A1:E37" xr:uid="{2D0F77BE-C24D-420C-A0E1-40B28679578D}"/>
  <tableColumns count="5">
    <tableColumn id="1" xr3:uid="{C9C78505-FA05-4125-BB95-EF7CCF544C99}" name="ID"/>
    <tableColumn id="2" xr3:uid="{B86C6CC1-E31B-4E19-942A-FF00E2FB2612}" name="Compte"/>
    <tableColumn id="3" xr3:uid="{CE65993D-AA5F-4DE5-8E0B-F0B3D419E97D}" name="Type"/>
    <tableColumn id="4" xr3:uid="{B7AE53C6-3B8B-4572-BBFE-A5E78A9CC02D}" name="Catégorie"/>
    <tableColumn id="5" xr3:uid="{06347683-7803-4B84-9FEE-6F671C16731E}" name="Solde_IFR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6DA021-AA15-4665-BE53-F64E2AB79DE4}" name="Tableau5" displayName="Tableau5" ref="A1:I37" totalsRowShown="0">
  <autoFilter ref="A1:I37" xr:uid="{4A6DA021-AA15-4665-BE53-F64E2AB79DE4}"/>
  <tableColumns count="9">
    <tableColumn id="1" xr3:uid="{9B6E9A83-5993-48F5-AC9E-22AF37076F25}" name="ID"/>
    <tableColumn id="2" xr3:uid="{4AA13A27-CC34-4D5D-9480-A18DD981A76B}" name="Compte"/>
    <tableColumn id="3" xr3:uid="{3FFD1683-081B-4378-9B54-BD7AE24FC656}" name="Type"/>
    <tableColumn id="4" xr3:uid="{A4989060-9FCC-40B9-B9C0-4E19AD0E67C1}" name="Catégorie"/>
    <tableColumn id="5" xr3:uid="{0AD814A1-79EC-443F-81D3-72F56816F210}" name="Mere_IFRS">
      <calculatedColumnFormula>SUMIF(TB_Mere_IFRS!A:A, A2, TB_Mere_IFRS!E:E)</calculatedColumnFormula>
    </tableColumn>
    <tableColumn id="6" xr3:uid="{CFFABF1C-D3BD-4A9A-BACA-A1C59D1D4856}" name="FilialeA_IFRS">
      <calculatedColumnFormula>SUMIF(TB_FilialeA_IFRS!A:A, A2, TB_FilialeA_IFRS!E:E)</calculatedColumnFormula>
    </tableColumn>
    <tableColumn id="7" xr3:uid="{F221B61C-F9A2-40D7-BF77-A37CA7BE41FC}" name="FilialeB_IFRS">
      <calculatedColumnFormula>SUMIF(TB_FilialeB_IFRS!A:A, A2, TB_FilialeB_IFRS!E:E)</calculatedColumnFormula>
    </tableColumn>
    <tableColumn id="8" xr3:uid="{0115FC48-9322-4744-8636-CAA7B2BB9387}" name="Eliminations"/>
    <tableColumn id="9" xr3:uid="{3871B77E-CC59-4F84-9D51-43F8AD0BA303}" name="IFRS_Consolide">
      <calculatedColumnFormula>SUM(E2:H2)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9F0395-8924-417D-BF0D-72B882E86DE2}" name="Tableau6" displayName="Tableau6" ref="A1:F3" totalsRowShown="0">
  <autoFilter ref="A1:F3" xr:uid="{599F0395-8924-417D-BF0D-72B882E86DE2}"/>
  <tableColumns count="6">
    <tableColumn id="1" xr3:uid="{A62B9F25-F443-4784-9190-1E64FB51C721}" name="ID_Ajustement"/>
    <tableColumn id="2" xr3:uid="{DBD7B0F9-4A62-4DBF-BD07-C3D5D80114D7}" name="ID_Compte"/>
    <tableColumn id="3" xr3:uid="{14847D4A-7530-4FCC-8B0D-6F7A5F4175BD}" name="Compte"/>
    <tableColumn id="4" xr3:uid="{7CB657C8-0F0A-43F7-AC9D-689BF9F8A6AA}" name="Debit"/>
    <tableColumn id="5" xr3:uid="{F0E9EFEC-B527-464A-BA62-777F0B8E8E67}" name="Credit"/>
    <tableColumn id="6" xr3:uid="{415F08BB-67B3-492E-9229-DD3B8C5578A5}" name="Description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0AB1D-8AA2-42B2-A11D-89BF369D841B}" name="Tableau7" displayName="Tableau7" ref="A1:F3" totalsRowShown="0">
  <autoFilter ref="A1:F3" xr:uid="{4B90AB1D-8AA2-42B2-A11D-89BF369D841B}"/>
  <tableColumns count="6">
    <tableColumn id="1" xr3:uid="{3E0B6AE7-700C-49F5-8749-14D85B56EFCB}" name="ID_Ajustement"/>
    <tableColumn id="2" xr3:uid="{085CBF41-88EF-4C65-A146-8903A3FE0481}" name="ID_Compte"/>
    <tableColumn id="3" xr3:uid="{B0E31BF0-A133-41A6-A2C1-C93AF1836728}" name="Compte"/>
    <tableColumn id="4" xr3:uid="{7909A071-4D1F-44EC-8C5B-3FE406210297}" name="Debit"/>
    <tableColumn id="5" xr3:uid="{C94EAF08-1ED6-4884-9D9C-E1B4F9FA3262}" name="Credit"/>
    <tableColumn id="6" xr3:uid="{8E050147-1053-4168-A7CB-ED84524D3FFB}" name="Description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5ACAC4-0EA3-4AAD-A3E0-10B7AD915B3E}" name="Tableau8" displayName="Tableau8" ref="A1:G37" totalsRowShown="0">
  <autoFilter ref="A1:G37" xr:uid="{9A5ACAC4-0EA3-4AAD-A3E0-10B7AD915B3E}"/>
  <tableColumns count="7">
    <tableColumn id="1" xr3:uid="{55436A42-9FF7-4BE4-8A95-F2E6EDC3DE68}" name="ID"/>
    <tableColumn id="2" xr3:uid="{57049A56-0767-4EB6-AB3A-F16A87134B07}" name="Compte"/>
    <tableColumn id="3" xr3:uid="{44C197E2-548C-46D3-8BE1-4022B611301A}" name="IFRS_Consolide">
      <calculatedColumnFormula>Consolidation_IFRS!I2</calculatedColumnFormula>
    </tableColumn>
    <tableColumn id="4" xr3:uid="{CB86CCF8-ADEA-472F-AA97-0540E979113C}" name="Adj_US_GAAP">
      <calculatedColumnFormula>SUMIF(Adj_US_GAAP!B:B, A2, Adj_US_GAAP!D:D) - SUMIF(Adj_US_GAAP!B:B, A2, Adj_US_GAAP!E:E)</calculatedColumnFormula>
    </tableColumn>
    <tableColumn id="5" xr3:uid="{36CBB56F-70CD-4F63-9803-A75D0CC3D06D}" name="US_GAAP_Consolide">
      <calculatedColumnFormula>C2 + D2</calculatedColumnFormula>
    </tableColumn>
    <tableColumn id="6" xr3:uid="{1FA74AB0-D01F-4C5F-9ECC-7E32D814F039}" name="Adj_UK_GAAP">
      <calculatedColumnFormula>SUMIF(Adj_UK_GAAP!B:B, A2, Adj_UK_GAAP!D:D) - SUMIF(Adj_UK_GAAP!B:B, A2, Adj_UK_GAAP!E:E)</calculatedColumnFormula>
    </tableColumn>
    <tableColumn id="7" xr3:uid="{A366B958-C6D6-4FC3-A1CA-80A84FCDEF12}" name="UK_GAAP_Consolide">
      <calculatedColumnFormula>C2 + F2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G1" sqref="G1:J2"/>
    </sheetView>
  </sheetViews>
  <sheetFormatPr baseColWidth="10" defaultColWidth="8.7265625" defaultRowHeight="14.5" x14ac:dyDescent="0.35"/>
  <cols>
    <col min="1" max="1" width="15.54296875" customWidth="1"/>
    <col min="2" max="2" width="12.08984375" customWidth="1"/>
    <col min="3" max="3" width="10.7265625" customWidth="1"/>
    <col min="4" max="4" width="11.26953125" customWidth="1"/>
  </cols>
  <sheetData>
    <row r="1" spans="1:10" x14ac:dyDescent="0.35">
      <c r="G1" s="2" t="s">
        <v>0</v>
      </c>
      <c r="H1" s="2"/>
      <c r="I1" s="2"/>
      <c r="J1" s="2"/>
    </row>
    <row r="2" spans="1:10" x14ac:dyDescent="0.35">
      <c r="G2" s="2"/>
      <c r="H2" s="2"/>
      <c r="I2" s="2"/>
      <c r="J2" s="2"/>
    </row>
    <row r="3" spans="1:10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10" x14ac:dyDescent="0.35">
      <c r="A4" s="1" t="s">
        <v>5</v>
      </c>
      <c r="B4" s="1">
        <f>Financial_Statements!C13</f>
        <v>4285683</v>
      </c>
      <c r="C4" s="1">
        <f>Financial_Statements!D13</f>
        <v>4310683</v>
      </c>
      <c r="D4" s="1">
        <f>Financial_Statements!E13</f>
        <v>4295683</v>
      </c>
    </row>
    <row r="5" spans="1:10" x14ac:dyDescent="0.35">
      <c r="A5" s="1" t="s">
        <v>6</v>
      </c>
      <c r="B5" s="1">
        <f>SUM(Financial_Statements!C17:C22)</f>
        <v>2987456</v>
      </c>
      <c r="C5" s="1">
        <f>SUM(Financial_Statements!D17:D22)</f>
        <v>2962456</v>
      </c>
      <c r="D5" s="1">
        <f>SUM(Financial_Statements!E17:E22)</f>
        <v>2977456</v>
      </c>
    </row>
  </sheetData>
  <mergeCells count="1">
    <mergeCell ref="G1:J2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sqref="A1:E37"/>
    </sheetView>
  </sheetViews>
  <sheetFormatPr baseColWidth="10" defaultColWidth="8.7265625" defaultRowHeight="14.5" x14ac:dyDescent="0.35"/>
  <cols>
    <col min="2" max="2" width="34.1796875" customWidth="1"/>
    <col min="3" max="3" width="14.90625" customWidth="1"/>
    <col min="4" max="4" width="20.54296875" customWidth="1"/>
    <col min="5" max="5" width="21.90625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1000</v>
      </c>
      <c r="B2" t="s">
        <v>12</v>
      </c>
      <c r="C2" t="s">
        <v>13</v>
      </c>
      <c r="D2" t="s">
        <v>14</v>
      </c>
      <c r="E2">
        <v>131958</v>
      </c>
    </row>
    <row r="3" spans="1:5" x14ac:dyDescent="0.35">
      <c r="A3">
        <v>1100</v>
      </c>
      <c r="B3" t="s">
        <v>15</v>
      </c>
      <c r="C3" t="s">
        <v>13</v>
      </c>
      <c r="D3" t="s">
        <v>14</v>
      </c>
      <c r="E3">
        <v>156867</v>
      </c>
    </row>
    <row r="4" spans="1:5" x14ac:dyDescent="0.35">
      <c r="A4">
        <v>1110</v>
      </c>
      <c r="B4" t="s">
        <v>16</v>
      </c>
      <c r="C4" t="s">
        <v>13</v>
      </c>
      <c r="D4" t="s">
        <v>14</v>
      </c>
      <c r="E4">
        <v>50000</v>
      </c>
    </row>
    <row r="5" spans="1:5" x14ac:dyDescent="0.35">
      <c r="A5">
        <v>1200</v>
      </c>
      <c r="B5" t="s">
        <v>17</v>
      </c>
      <c r="C5" t="s">
        <v>13</v>
      </c>
      <c r="D5" t="s">
        <v>14</v>
      </c>
      <c r="E5">
        <v>375838</v>
      </c>
    </row>
    <row r="6" spans="1:5" x14ac:dyDescent="0.35">
      <c r="A6">
        <v>1300</v>
      </c>
      <c r="B6" t="s">
        <v>18</v>
      </c>
      <c r="C6" t="s">
        <v>13</v>
      </c>
      <c r="D6" t="s">
        <v>19</v>
      </c>
      <c r="E6">
        <v>269178</v>
      </c>
    </row>
    <row r="7" spans="1:5" x14ac:dyDescent="0.35">
      <c r="A7">
        <v>1305</v>
      </c>
      <c r="B7" t="s">
        <v>20</v>
      </c>
      <c r="C7" t="s">
        <v>13</v>
      </c>
      <c r="D7" t="s">
        <v>19</v>
      </c>
      <c r="E7">
        <v>129879</v>
      </c>
    </row>
    <row r="8" spans="1:5" x14ac:dyDescent="0.35">
      <c r="A8">
        <v>1310</v>
      </c>
      <c r="B8" t="s">
        <v>21</v>
      </c>
      <c r="C8" t="s">
        <v>13</v>
      </c>
      <c r="D8" t="s">
        <v>19</v>
      </c>
      <c r="E8">
        <v>120268</v>
      </c>
    </row>
    <row r="9" spans="1:5" x14ac:dyDescent="0.35">
      <c r="A9">
        <v>1315</v>
      </c>
      <c r="B9" t="s">
        <v>22</v>
      </c>
      <c r="C9" t="s">
        <v>13</v>
      </c>
      <c r="D9" t="s">
        <v>19</v>
      </c>
      <c r="E9">
        <v>217892</v>
      </c>
    </row>
    <row r="10" spans="1:5" x14ac:dyDescent="0.35">
      <c r="A10">
        <v>1400</v>
      </c>
      <c r="B10" t="s">
        <v>23</v>
      </c>
      <c r="C10" t="s">
        <v>13</v>
      </c>
      <c r="D10" t="s">
        <v>19</v>
      </c>
      <c r="E10">
        <v>64886</v>
      </c>
    </row>
    <row r="11" spans="1:5" x14ac:dyDescent="0.35">
      <c r="A11">
        <v>1405</v>
      </c>
      <c r="B11" t="s">
        <v>24</v>
      </c>
      <c r="C11" t="s">
        <v>13</v>
      </c>
      <c r="D11" t="s">
        <v>19</v>
      </c>
      <c r="E11">
        <v>147337</v>
      </c>
    </row>
    <row r="12" spans="1:5" x14ac:dyDescent="0.35">
      <c r="A12">
        <v>1410</v>
      </c>
      <c r="B12" t="s">
        <v>25</v>
      </c>
      <c r="C12" t="s">
        <v>13</v>
      </c>
      <c r="D12" t="s">
        <v>19</v>
      </c>
      <c r="E12">
        <v>485602</v>
      </c>
    </row>
    <row r="13" spans="1:5" x14ac:dyDescent="0.35">
      <c r="A13">
        <v>1500</v>
      </c>
      <c r="B13" t="s">
        <v>26</v>
      </c>
      <c r="C13" t="s">
        <v>13</v>
      </c>
      <c r="D13" t="s">
        <v>19</v>
      </c>
      <c r="E13">
        <v>440410</v>
      </c>
    </row>
    <row r="14" spans="1:5" x14ac:dyDescent="0.35">
      <c r="A14">
        <v>2000</v>
      </c>
      <c r="B14" t="s">
        <v>27</v>
      </c>
      <c r="C14" t="s">
        <v>28</v>
      </c>
      <c r="D14" t="s">
        <v>29</v>
      </c>
      <c r="E14">
        <v>-97498</v>
      </c>
    </row>
    <row r="15" spans="1:5" x14ac:dyDescent="0.35">
      <c r="A15">
        <v>2010</v>
      </c>
      <c r="B15" t="s">
        <v>30</v>
      </c>
      <c r="C15" t="s">
        <v>28</v>
      </c>
      <c r="D15" t="s">
        <v>29</v>
      </c>
      <c r="E15">
        <v>-50000</v>
      </c>
    </row>
    <row r="16" spans="1:5" x14ac:dyDescent="0.35">
      <c r="A16">
        <v>2100</v>
      </c>
      <c r="B16" t="s">
        <v>31</v>
      </c>
      <c r="C16" t="s">
        <v>28</v>
      </c>
      <c r="D16" t="s">
        <v>29</v>
      </c>
      <c r="E16">
        <v>-398468</v>
      </c>
    </row>
    <row r="17" spans="1:5" x14ac:dyDescent="0.35">
      <c r="A17">
        <v>2200</v>
      </c>
      <c r="B17" t="s">
        <v>32</v>
      </c>
      <c r="C17" t="s">
        <v>28</v>
      </c>
      <c r="D17" t="s">
        <v>29</v>
      </c>
      <c r="E17">
        <v>-185203</v>
      </c>
    </row>
    <row r="18" spans="1:5" x14ac:dyDescent="0.35">
      <c r="A18">
        <v>2300</v>
      </c>
      <c r="B18" t="s">
        <v>33</v>
      </c>
      <c r="C18" t="s">
        <v>28</v>
      </c>
      <c r="D18" t="s">
        <v>29</v>
      </c>
      <c r="E18">
        <v>-201335</v>
      </c>
    </row>
    <row r="19" spans="1:5" x14ac:dyDescent="0.35">
      <c r="A19">
        <v>2400</v>
      </c>
      <c r="B19" t="s">
        <v>34</v>
      </c>
      <c r="C19" t="s">
        <v>28</v>
      </c>
      <c r="D19" t="s">
        <v>35</v>
      </c>
      <c r="E19">
        <v>-288167</v>
      </c>
    </row>
    <row r="20" spans="1:5" x14ac:dyDescent="0.35">
      <c r="A20">
        <v>2500</v>
      </c>
      <c r="B20" t="s">
        <v>36</v>
      </c>
      <c r="C20" t="s">
        <v>28</v>
      </c>
      <c r="D20" t="s">
        <v>35</v>
      </c>
      <c r="E20">
        <v>-51090</v>
      </c>
    </row>
    <row r="21" spans="1:5" x14ac:dyDescent="0.35">
      <c r="A21">
        <v>2600</v>
      </c>
      <c r="B21" t="s">
        <v>37</v>
      </c>
      <c r="C21" t="s">
        <v>28</v>
      </c>
      <c r="D21" t="s">
        <v>35</v>
      </c>
      <c r="E21">
        <v>-339365</v>
      </c>
    </row>
    <row r="22" spans="1:5" x14ac:dyDescent="0.35">
      <c r="A22">
        <v>3000</v>
      </c>
      <c r="B22" t="s">
        <v>38</v>
      </c>
      <c r="C22" t="s">
        <v>39</v>
      </c>
      <c r="D22" t="s">
        <v>39</v>
      </c>
      <c r="E22">
        <v>-74820</v>
      </c>
    </row>
    <row r="23" spans="1:5" x14ac:dyDescent="0.35">
      <c r="A23">
        <v>3100</v>
      </c>
      <c r="B23" t="s">
        <v>40</v>
      </c>
      <c r="C23" t="s">
        <v>39</v>
      </c>
      <c r="D23" t="s">
        <v>39</v>
      </c>
      <c r="E23">
        <v>-272913</v>
      </c>
    </row>
    <row r="24" spans="1:5" x14ac:dyDescent="0.35">
      <c r="A24">
        <v>3200</v>
      </c>
      <c r="B24" t="s">
        <v>41</v>
      </c>
      <c r="C24" t="s">
        <v>39</v>
      </c>
      <c r="D24" t="s">
        <v>39</v>
      </c>
      <c r="E24">
        <v>-2992116</v>
      </c>
    </row>
    <row r="25" spans="1:5" x14ac:dyDescent="0.35">
      <c r="A25">
        <v>4000</v>
      </c>
      <c r="B25" t="s">
        <v>42</v>
      </c>
      <c r="C25" t="s">
        <v>43</v>
      </c>
      <c r="D25" t="s">
        <v>44</v>
      </c>
      <c r="E25">
        <v>-818315</v>
      </c>
    </row>
    <row r="26" spans="1:5" x14ac:dyDescent="0.35">
      <c r="A26">
        <v>4100</v>
      </c>
      <c r="B26" t="s">
        <v>45</v>
      </c>
      <c r="C26" t="s">
        <v>43</v>
      </c>
      <c r="D26" t="s">
        <v>44</v>
      </c>
      <c r="E26">
        <v>-100000</v>
      </c>
    </row>
    <row r="27" spans="1:5" x14ac:dyDescent="0.35">
      <c r="A27">
        <v>5000</v>
      </c>
      <c r="B27" t="s">
        <v>46</v>
      </c>
      <c r="C27" t="s">
        <v>47</v>
      </c>
      <c r="D27" t="s">
        <v>48</v>
      </c>
      <c r="E27">
        <v>302709</v>
      </c>
    </row>
    <row r="28" spans="1:5" x14ac:dyDescent="0.35">
      <c r="A28">
        <v>5100</v>
      </c>
      <c r="B28" t="s">
        <v>49</v>
      </c>
      <c r="C28" t="s">
        <v>47</v>
      </c>
      <c r="D28" t="s">
        <v>48</v>
      </c>
      <c r="E28">
        <v>100000</v>
      </c>
    </row>
    <row r="29" spans="1:5" x14ac:dyDescent="0.35">
      <c r="A29">
        <v>5200</v>
      </c>
      <c r="B29" t="s">
        <v>50</v>
      </c>
      <c r="C29" t="s">
        <v>47</v>
      </c>
      <c r="D29" t="s">
        <v>48</v>
      </c>
      <c r="E29">
        <v>317455</v>
      </c>
    </row>
    <row r="30" spans="1:5" x14ac:dyDescent="0.35">
      <c r="A30">
        <v>5300</v>
      </c>
      <c r="B30" t="s">
        <v>20</v>
      </c>
      <c r="C30" t="s">
        <v>47</v>
      </c>
      <c r="D30" t="s">
        <v>48</v>
      </c>
      <c r="E30">
        <v>153355</v>
      </c>
    </row>
    <row r="31" spans="1:5" x14ac:dyDescent="0.35">
      <c r="A31">
        <v>5310</v>
      </c>
      <c r="B31" t="s">
        <v>22</v>
      </c>
      <c r="C31" t="s">
        <v>47</v>
      </c>
      <c r="D31" t="s">
        <v>48</v>
      </c>
      <c r="E31">
        <v>285796</v>
      </c>
    </row>
    <row r="32" spans="1:5" x14ac:dyDescent="0.35">
      <c r="A32">
        <v>5400</v>
      </c>
      <c r="B32" t="s">
        <v>51</v>
      </c>
      <c r="C32" t="s">
        <v>47</v>
      </c>
      <c r="D32" t="s">
        <v>48</v>
      </c>
      <c r="E32">
        <v>264176</v>
      </c>
    </row>
    <row r="33" spans="1:5" x14ac:dyDescent="0.35">
      <c r="A33">
        <v>5500</v>
      </c>
      <c r="B33" t="s">
        <v>52</v>
      </c>
      <c r="C33" t="s">
        <v>47</v>
      </c>
      <c r="D33" t="s">
        <v>48</v>
      </c>
      <c r="E33">
        <v>234779</v>
      </c>
    </row>
    <row r="34" spans="1:5" x14ac:dyDescent="0.35">
      <c r="A34">
        <v>5600</v>
      </c>
      <c r="B34" t="s">
        <v>53</v>
      </c>
      <c r="C34" t="s">
        <v>47</v>
      </c>
      <c r="D34" t="s">
        <v>48</v>
      </c>
      <c r="E34">
        <v>397449</v>
      </c>
    </row>
    <row r="35" spans="1:5" x14ac:dyDescent="0.35">
      <c r="A35">
        <v>6000</v>
      </c>
      <c r="B35" t="s">
        <v>54</v>
      </c>
      <c r="C35" t="s">
        <v>47</v>
      </c>
      <c r="D35" t="s">
        <v>54</v>
      </c>
      <c r="E35">
        <v>471909</v>
      </c>
    </row>
    <row r="36" spans="1:5" x14ac:dyDescent="0.35">
      <c r="A36">
        <v>6010</v>
      </c>
      <c r="B36" t="s">
        <v>55</v>
      </c>
      <c r="C36" t="s">
        <v>47</v>
      </c>
      <c r="D36" t="s">
        <v>54</v>
      </c>
      <c r="E36">
        <v>308795</v>
      </c>
    </row>
    <row r="37" spans="1:5" x14ac:dyDescent="0.35">
      <c r="A37">
        <v>7000</v>
      </c>
      <c r="B37" t="s">
        <v>56</v>
      </c>
      <c r="C37" t="s">
        <v>47</v>
      </c>
      <c r="D37" t="s">
        <v>57</v>
      </c>
      <c r="E37">
        <v>442752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sqref="A1:E37"/>
    </sheetView>
  </sheetViews>
  <sheetFormatPr baseColWidth="10" defaultColWidth="8.7265625" defaultRowHeight="14.5" x14ac:dyDescent="0.35"/>
  <cols>
    <col min="2" max="2" width="32.7265625" customWidth="1"/>
    <col min="4" max="4" width="17.7265625" customWidth="1"/>
    <col min="5" max="5" width="12.90625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1000</v>
      </c>
      <c r="B2" t="s">
        <v>12</v>
      </c>
      <c r="C2" t="s">
        <v>13</v>
      </c>
      <c r="D2" t="s">
        <v>14</v>
      </c>
      <c r="E2">
        <v>259342</v>
      </c>
    </row>
    <row r="3" spans="1:5" x14ac:dyDescent="0.35">
      <c r="A3">
        <v>1100</v>
      </c>
      <c r="B3" t="s">
        <v>15</v>
      </c>
      <c r="C3" t="s">
        <v>13</v>
      </c>
      <c r="D3" t="s">
        <v>14</v>
      </c>
      <c r="E3">
        <v>287869</v>
      </c>
    </row>
    <row r="4" spans="1:5" x14ac:dyDescent="0.35">
      <c r="A4">
        <v>1110</v>
      </c>
      <c r="B4" t="s">
        <v>16</v>
      </c>
      <c r="C4" t="s">
        <v>13</v>
      </c>
      <c r="D4" t="s">
        <v>14</v>
      </c>
      <c r="E4">
        <v>50000</v>
      </c>
    </row>
    <row r="5" spans="1:5" x14ac:dyDescent="0.35">
      <c r="A5">
        <v>1200</v>
      </c>
      <c r="B5" t="s">
        <v>17</v>
      </c>
      <c r="C5" t="s">
        <v>13</v>
      </c>
      <c r="D5" t="s">
        <v>14</v>
      </c>
      <c r="E5">
        <v>27730</v>
      </c>
    </row>
    <row r="6" spans="1:5" x14ac:dyDescent="0.35">
      <c r="A6">
        <v>1300</v>
      </c>
      <c r="B6" t="s">
        <v>18</v>
      </c>
      <c r="C6" t="s">
        <v>13</v>
      </c>
      <c r="D6" t="s">
        <v>19</v>
      </c>
      <c r="E6">
        <v>202476</v>
      </c>
    </row>
    <row r="7" spans="1:5" x14ac:dyDescent="0.35">
      <c r="A7">
        <v>1305</v>
      </c>
      <c r="B7" t="s">
        <v>20</v>
      </c>
      <c r="C7" t="s">
        <v>13</v>
      </c>
      <c r="D7" t="s">
        <v>19</v>
      </c>
      <c r="E7">
        <v>392050</v>
      </c>
    </row>
    <row r="8" spans="1:5" x14ac:dyDescent="0.35">
      <c r="A8">
        <v>1310</v>
      </c>
      <c r="B8" t="s">
        <v>21</v>
      </c>
      <c r="C8" t="s">
        <v>13</v>
      </c>
      <c r="D8" t="s">
        <v>19</v>
      </c>
      <c r="E8">
        <v>204278</v>
      </c>
    </row>
    <row r="9" spans="1:5" x14ac:dyDescent="0.35">
      <c r="A9">
        <v>1315</v>
      </c>
      <c r="B9" t="s">
        <v>22</v>
      </c>
      <c r="C9" t="s">
        <v>13</v>
      </c>
      <c r="D9" t="s">
        <v>19</v>
      </c>
      <c r="E9">
        <v>156449</v>
      </c>
    </row>
    <row r="10" spans="1:5" x14ac:dyDescent="0.35">
      <c r="A10">
        <v>1400</v>
      </c>
      <c r="B10" t="s">
        <v>23</v>
      </c>
      <c r="C10" t="s">
        <v>13</v>
      </c>
      <c r="D10" t="s">
        <v>19</v>
      </c>
      <c r="E10">
        <v>476515</v>
      </c>
    </row>
    <row r="11" spans="1:5" x14ac:dyDescent="0.35">
      <c r="A11">
        <v>1405</v>
      </c>
      <c r="B11" t="s">
        <v>24</v>
      </c>
      <c r="C11" t="s">
        <v>13</v>
      </c>
      <c r="D11" t="s">
        <v>19</v>
      </c>
      <c r="E11">
        <v>139130</v>
      </c>
    </row>
    <row r="12" spans="1:5" x14ac:dyDescent="0.35">
      <c r="A12">
        <v>1410</v>
      </c>
      <c r="B12" t="s">
        <v>25</v>
      </c>
      <c r="C12" t="s">
        <v>13</v>
      </c>
      <c r="D12" t="s">
        <v>19</v>
      </c>
      <c r="E12">
        <v>56203</v>
      </c>
    </row>
    <row r="13" spans="1:5" x14ac:dyDescent="0.35">
      <c r="A13">
        <v>1500</v>
      </c>
      <c r="B13" t="s">
        <v>26</v>
      </c>
      <c r="C13" t="s">
        <v>13</v>
      </c>
      <c r="D13" t="s">
        <v>19</v>
      </c>
      <c r="E13">
        <v>230374</v>
      </c>
    </row>
    <row r="14" spans="1:5" x14ac:dyDescent="0.35">
      <c r="A14">
        <v>2000</v>
      </c>
      <c r="B14" t="s">
        <v>27</v>
      </c>
      <c r="C14" t="s">
        <v>28</v>
      </c>
      <c r="D14" t="s">
        <v>29</v>
      </c>
      <c r="E14">
        <v>-163313</v>
      </c>
    </row>
    <row r="15" spans="1:5" x14ac:dyDescent="0.35">
      <c r="A15">
        <v>2010</v>
      </c>
      <c r="B15" t="s">
        <v>30</v>
      </c>
      <c r="C15" t="s">
        <v>28</v>
      </c>
      <c r="D15" t="s">
        <v>29</v>
      </c>
      <c r="E15">
        <v>-50000</v>
      </c>
    </row>
    <row r="16" spans="1:5" x14ac:dyDescent="0.35">
      <c r="A16">
        <v>2100</v>
      </c>
      <c r="B16" t="s">
        <v>31</v>
      </c>
      <c r="C16" t="s">
        <v>28</v>
      </c>
      <c r="D16" t="s">
        <v>29</v>
      </c>
      <c r="E16">
        <v>-458625</v>
      </c>
    </row>
    <row r="17" spans="1:5" x14ac:dyDescent="0.35">
      <c r="A17">
        <v>2200</v>
      </c>
      <c r="B17" t="s">
        <v>32</v>
      </c>
      <c r="C17" t="s">
        <v>28</v>
      </c>
      <c r="D17" t="s">
        <v>29</v>
      </c>
      <c r="E17">
        <v>-426382</v>
      </c>
    </row>
    <row r="18" spans="1:5" x14ac:dyDescent="0.35">
      <c r="A18">
        <v>2300</v>
      </c>
      <c r="B18" t="s">
        <v>33</v>
      </c>
      <c r="C18" t="s">
        <v>28</v>
      </c>
      <c r="D18" t="s">
        <v>29</v>
      </c>
      <c r="E18">
        <v>-259903</v>
      </c>
    </row>
    <row r="19" spans="1:5" x14ac:dyDescent="0.35">
      <c r="A19">
        <v>2400</v>
      </c>
      <c r="B19" t="s">
        <v>34</v>
      </c>
      <c r="C19" t="s">
        <v>28</v>
      </c>
      <c r="D19" t="s">
        <v>35</v>
      </c>
      <c r="E19">
        <v>-128857</v>
      </c>
    </row>
    <row r="20" spans="1:5" x14ac:dyDescent="0.35">
      <c r="A20">
        <v>2500</v>
      </c>
      <c r="B20" t="s">
        <v>36</v>
      </c>
      <c r="C20" t="s">
        <v>28</v>
      </c>
      <c r="D20" t="s">
        <v>35</v>
      </c>
      <c r="E20">
        <v>-81200</v>
      </c>
    </row>
    <row r="21" spans="1:5" x14ac:dyDescent="0.35">
      <c r="A21">
        <v>2600</v>
      </c>
      <c r="B21" t="s">
        <v>37</v>
      </c>
      <c r="C21" t="s">
        <v>28</v>
      </c>
      <c r="D21" t="s">
        <v>35</v>
      </c>
      <c r="E21">
        <v>-174782</v>
      </c>
    </row>
    <row r="22" spans="1:5" x14ac:dyDescent="0.35">
      <c r="A22">
        <v>3000</v>
      </c>
      <c r="B22" t="s">
        <v>38</v>
      </c>
      <c r="C22" t="s">
        <v>39</v>
      </c>
      <c r="D22" t="s">
        <v>39</v>
      </c>
      <c r="E22">
        <v>-206719</v>
      </c>
    </row>
    <row r="23" spans="1:5" x14ac:dyDescent="0.35">
      <c r="A23">
        <v>3100</v>
      </c>
      <c r="B23" t="s">
        <v>40</v>
      </c>
      <c r="C23" t="s">
        <v>39</v>
      </c>
      <c r="D23" t="s">
        <v>39</v>
      </c>
      <c r="E23">
        <v>-242857</v>
      </c>
    </row>
    <row r="24" spans="1:5" x14ac:dyDescent="0.35">
      <c r="A24">
        <v>3200</v>
      </c>
      <c r="B24" t="s">
        <v>41</v>
      </c>
      <c r="C24" t="s">
        <v>39</v>
      </c>
      <c r="D24" t="s">
        <v>39</v>
      </c>
      <c r="E24">
        <v>-2507966</v>
      </c>
    </row>
    <row r="25" spans="1:5" x14ac:dyDescent="0.35">
      <c r="A25">
        <v>4000</v>
      </c>
      <c r="B25" t="s">
        <v>42</v>
      </c>
      <c r="C25" t="s">
        <v>43</v>
      </c>
      <c r="D25" t="s">
        <v>44</v>
      </c>
      <c r="E25">
        <v>-659950</v>
      </c>
    </row>
    <row r="26" spans="1:5" x14ac:dyDescent="0.35">
      <c r="A26">
        <v>4100</v>
      </c>
      <c r="B26" t="s">
        <v>45</v>
      </c>
      <c r="C26" t="s">
        <v>43</v>
      </c>
      <c r="D26" t="s">
        <v>44</v>
      </c>
      <c r="E26">
        <v>-100000</v>
      </c>
    </row>
    <row r="27" spans="1:5" x14ac:dyDescent="0.35">
      <c r="A27">
        <v>5000</v>
      </c>
      <c r="B27" t="s">
        <v>46</v>
      </c>
      <c r="C27" t="s">
        <v>47</v>
      </c>
      <c r="D27" t="s">
        <v>48</v>
      </c>
      <c r="E27">
        <v>277748</v>
      </c>
    </row>
    <row r="28" spans="1:5" x14ac:dyDescent="0.35">
      <c r="A28">
        <v>5100</v>
      </c>
      <c r="B28" t="s">
        <v>49</v>
      </c>
      <c r="C28" t="s">
        <v>47</v>
      </c>
      <c r="D28" t="s">
        <v>48</v>
      </c>
      <c r="E28">
        <v>100000</v>
      </c>
    </row>
    <row r="29" spans="1:5" x14ac:dyDescent="0.35">
      <c r="A29">
        <v>5200</v>
      </c>
      <c r="B29" t="s">
        <v>50</v>
      </c>
      <c r="C29" t="s">
        <v>47</v>
      </c>
      <c r="D29" t="s">
        <v>48</v>
      </c>
      <c r="E29">
        <v>180256</v>
      </c>
    </row>
    <row r="30" spans="1:5" x14ac:dyDescent="0.35">
      <c r="A30">
        <v>5300</v>
      </c>
      <c r="B30" t="s">
        <v>20</v>
      </c>
      <c r="C30" t="s">
        <v>47</v>
      </c>
      <c r="D30" t="s">
        <v>48</v>
      </c>
      <c r="E30">
        <v>395156</v>
      </c>
    </row>
    <row r="31" spans="1:5" x14ac:dyDescent="0.35">
      <c r="A31">
        <v>5310</v>
      </c>
      <c r="B31" t="s">
        <v>22</v>
      </c>
      <c r="C31" t="s">
        <v>47</v>
      </c>
      <c r="D31" t="s">
        <v>48</v>
      </c>
      <c r="E31">
        <v>385665</v>
      </c>
    </row>
    <row r="32" spans="1:5" x14ac:dyDescent="0.35">
      <c r="A32">
        <v>5400</v>
      </c>
      <c r="B32" t="s">
        <v>51</v>
      </c>
      <c r="C32" t="s">
        <v>47</v>
      </c>
      <c r="D32" t="s">
        <v>48</v>
      </c>
      <c r="E32">
        <v>357651</v>
      </c>
    </row>
    <row r="33" spans="1:5" x14ac:dyDescent="0.35">
      <c r="A33">
        <v>5500</v>
      </c>
      <c r="B33" t="s">
        <v>52</v>
      </c>
      <c r="C33" t="s">
        <v>47</v>
      </c>
      <c r="D33" t="s">
        <v>48</v>
      </c>
      <c r="E33">
        <v>207698</v>
      </c>
    </row>
    <row r="34" spans="1:5" x14ac:dyDescent="0.35">
      <c r="A34">
        <v>5600</v>
      </c>
      <c r="B34" t="s">
        <v>53</v>
      </c>
      <c r="C34" t="s">
        <v>47</v>
      </c>
      <c r="D34" t="s">
        <v>48</v>
      </c>
      <c r="E34">
        <v>295799</v>
      </c>
    </row>
    <row r="35" spans="1:5" x14ac:dyDescent="0.35">
      <c r="A35">
        <v>6000</v>
      </c>
      <c r="B35" t="s">
        <v>54</v>
      </c>
      <c r="C35" t="s">
        <v>47</v>
      </c>
      <c r="D35" t="s">
        <v>54</v>
      </c>
      <c r="E35">
        <v>264338</v>
      </c>
    </row>
    <row r="36" spans="1:5" x14ac:dyDescent="0.35">
      <c r="A36">
        <v>6010</v>
      </c>
      <c r="B36" t="s">
        <v>55</v>
      </c>
      <c r="C36" t="s">
        <v>47</v>
      </c>
      <c r="D36" t="s">
        <v>54</v>
      </c>
      <c r="E36">
        <v>433572</v>
      </c>
    </row>
    <row r="37" spans="1:5" x14ac:dyDescent="0.35">
      <c r="A37">
        <v>7000</v>
      </c>
      <c r="B37" t="s">
        <v>56</v>
      </c>
      <c r="C37" t="s">
        <v>47</v>
      </c>
      <c r="D37" t="s">
        <v>57</v>
      </c>
      <c r="E37">
        <v>80255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sqref="A1:E37"/>
    </sheetView>
  </sheetViews>
  <sheetFormatPr baseColWidth="10" defaultColWidth="8.7265625" defaultRowHeight="14.5" x14ac:dyDescent="0.35"/>
  <cols>
    <col min="2" max="2" width="34.453125" customWidth="1"/>
    <col min="3" max="3" width="8.36328125" customWidth="1"/>
    <col min="4" max="4" width="17.26953125" customWidth="1"/>
    <col min="5" max="5" width="16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1000</v>
      </c>
      <c r="B2" t="s">
        <v>12</v>
      </c>
      <c r="C2" t="s">
        <v>13</v>
      </c>
      <c r="D2" t="s">
        <v>14</v>
      </c>
      <c r="E2">
        <v>433835</v>
      </c>
    </row>
    <row r="3" spans="1:5" x14ac:dyDescent="0.35">
      <c r="A3">
        <v>1100</v>
      </c>
      <c r="B3" t="s">
        <v>15</v>
      </c>
      <c r="C3" t="s">
        <v>13</v>
      </c>
      <c r="D3" t="s">
        <v>14</v>
      </c>
      <c r="E3">
        <v>76149</v>
      </c>
    </row>
    <row r="4" spans="1:5" x14ac:dyDescent="0.35">
      <c r="A4">
        <v>1110</v>
      </c>
      <c r="B4" t="s">
        <v>16</v>
      </c>
      <c r="C4" t="s">
        <v>13</v>
      </c>
      <c r="D4" t="s">
        <v>14</v>
      </c>
      <c r="E4">
        <v>50000</v>
      </c>
    </row>
    <row r="5" spans="1:5" x14ac:dyDescent="0.35">
      <c r="A5">
        <v>1200</v>
      </c>
      <c r="B5" t="s">
        <v>17</v>
      </c>
      <c r="C5" t="s">
        <v>13</v>
      </c>
      <c r="D5" t="s">
        <v>14</v>
      </c>
      <c r="E5">
        <v>233833</v>
      </c>
    </row>
    <row r="6" spans="1:5" x14ac:dyDescent="0.35">
      <c r="A6">
        <v>1300</v>
      </c>
      <c r="B6" t="s">
        <v>18</v>
      </c>
      <c r="C6" t="s">
        <v>13</v>
      </c>
      <c r="D6" t="s">
        <v>19</v>
      </c>
      <c r="E6">
        <v>327482</v>
      </c>
    </row>
    <row r="7" spans="1:5" x14ac:dyDescent="0.35">
      <c r="A7">
        <v>1305</v>
      </c>
      <c r="B7" t="s">
        <v>20</v>
      </c>
      <c r="C7" t="s">
        <v>13</v>
      </c>
      <c r="D7" t="s">
        <v>19</v>
      </c>
      <c r="E7">
        <v>413951</v>
      </c>
    </row>
    <row r="8" spans="1:5" x14ac:dyDescent="0.35">
      <c r="A8">
        <v>1310</v>
      </c>
      <c r="B8" t="s">
        <v>21</v>
      </c>
      <c r="C8" t="s">
        <v>13</v>
      </c>
      <c r="D8" t="s">
        <v>19</v>
      </c>
      <c r="E8">
        <v>232108</v>
      </c>
    </row>
    <row r="9" spans="1:5" x14ac:dyDescent="0.35">
      <c r="A9">
        <v>1315</v>
      </c>
      <c r="B9" t="s">
        <v>22</v>
      </c>
      <c r="C9" t="s">
        <v>13</v>
      </c>
      <c r="D9" t="s">
        <v>19</v>
      </c>
      <c r="E9">
        <v>42622</v>
      </c>
    </row>
    <row r="10" spans="1:5" x14ac:dyDescent="0.35">
      <c r="A10">
        <v>1400</v>
      </c>
      <c r="B10" t="s">
        <v>23</v>
      </c>
      <c r="C10" t="s">
        <v>13</v>
      </c>
      <c r="D10" t="s">
        <v>19</v>
      </c>
      <c r="E10">
        <v>87647</v>
      </c>
    </row>
    <row r="11" spans="1:5" x14ac:dyDescent="0.35">
      <c r="A11">
        <v>1405</v>
      </c>
      <c r="B11" t="s">
        <v>24</v>
      </c>
      <c r="C11" t="s">
        <v>13</v>
      </c>
      <c r="D11" t="s">
        <v>19</v>
      </c>
      <c r="E11">
        <v>498570</v>
      </c>
    </row>
    <row r="12" spans="1:5" x14ac:dyDescent="0.35">
      <c r="A12">
        <v>1410</v>
      </c>
      <c r="B12" t="s">
        <v>25</v>
      </c>
      <c r="C12" t="s">
        <v>13</v>
      </c>
      <c r="D12" t="s">
        <v>19</v>
      </c>
      <c r="E12">
        <v>481284</v>
      </c>
    </row>
    <row r="13" spans="1:5" x14ac:dyDescent="0.35">
      <c r="A13">
        <v>1500</v>
      </c>
      <c r="B13" t="s">
        <v>26</v>
      </c>
      <c r="C13" t="s">
        <v>13</v>
      </c>
      <c r="D13" t="s">
        <v>19</v>
      </c>
      <c r="E13">
        <v>185597</v>
      </c>
    </row>
    <row r="14" spans="1:5" x14ac:dyDescent="0.35">
      <c r="A14">
        <v>2000</v>
      </c>
      <c r="B14" t="s">
        <v>27</v>
      </c>
      <c r="C14" t="s">
        <v>28</v>
      </c>
      <c r="D14" t="s">
        <v>29</v>
      </c>
      <c r="E14">
        <v>-361292</v>
      </c>
    </row>
    <row r="15" spans="1:5" x14ac:dyDescent="0.35">
      <c r="A15">
        <v>2010</v>
      </c>
      <c r="B15" t="s">
        <v>30</v>
      </c>
      <c r="C15" t="s">
        <v>28</v>
      </c>
      <c r="D15" t="s">
        <v>29</v>
      </c>
      <c r="E15">
        <v>-50000</v>
      </c>
    </row>
    <row r="16" spans="1:5" x14ac:dyDescent="0.35">
      <c r="A16">
        <v>2100</v>
      </c>
      <c r="B16" t="s">
        <v>31</v>
      </c>
      <c r="C16" t="s">
        <v>28</v>
      </c>
      <c r="D16" t="s">
        <v>29</v>
      </c>
      <c r="E16">
        <v>-371893</v>
      </c>
    </row>
    <row r="17" spans="1:5" x14ac:dyDescent="0.35">
      <c r="A17">
        <v>2200</v>
      </c>
      <c r="B17" t="s">
        <v>32</v>
      </c>
      <c r="C17" t="s">
        <v>28</v>
      </c>
      <c r="D17" t="s">
        <v>29</v>
      </c>
      <c r="E17">
        <v>-135148</v>
      </c>
    </row>
    <row r="18" spans="1:5" x14ac:dyDescent="0.35">
      <c r="A18">
        <v>2300</v>
      </c>
      <c r="B18" t="s">
        <v>33</v>
      </c>
      <c r="C18" t="s">
        <v>28</v>
      </c>
      <c r="D18" t="s">
        <v>29</v>
      </c>
      <c r="E18">
        <v>-331191</v>
      </c>
    </row>
    <row r="19" spans="1:5" x14ac:dyDescent="0.35">
      <c r="A19">
        <v>2400</v>
      </c>
      <c r="B19" t="s">
        <v>34</v>
      </c>
      <c r="C19" t="s">
        <v>28</v>
      </c>
      <c r="D19" t="s">
        <v>35</v>
      </c>
      <c r="E19">
        <v>-179425</v>
      </c>
    </row>
    <row r="20" spans="1:5" x14ac:dyDescent="0.35">
      <c r="A20">
        <v>2500</v>
      </c>
      <c r="B20" t="s">
        <v>36</v>
      </c>
      <c r="C20" t="s">
        <v>28</v>
      </c>
      <c r="D20" t="s">
        <v>35</v>
      </c>
      <c r="E20">
        <v>-108059</v>
      </c>
    </row>
    <row r="21" spans="1:5" x14ac:dyDescent="0.35">
      <c r="A21">
        <v>2600</v>
      </c>
      <c r="B21" t="s">
        <v>37</v>
      </c>
      <c r="C21" t="s">
        <v>28</v>
      </c>
      <c r="D21" t="s">
        <v>35</v>
      </c>
      <c r="E21">
        <v>-126200</v>
      </c>
    </row>
    <row r="22" spans="1:5" x14ac:dyDescent="0.35">
      <c r="A22">
        <v>3000</v>
      </c>
      <c r="B22" t="s">
        <v>38</v>
      </c>
      <c r="C22" t="s">
        <v>39</v>
      </c>
      <c r="D22" t="s">
        <v>39</v>
      </c>
      <c r="E22">
        <v>-54787</v>
      </c>
    </row>
    <row r="23" spans="1:5" x14ac:dyDescent="0.35">
      <c r="A23">
        <v>3100</v>
      </c>
      <c r="B23" t="s">
        <v>40</v>
      </c>
      <c r="C23" t="s">
        <v>39</v>
      </c>
      <c r="D23" t="s">
        <v>39</v>
      </c>
      <c r="E23">
        <v>-491101</v>
      </c>
    </row>
    <row r="24" spans="1:5" x14ac:dyDescent="0.35">
      <c r="A24">
        <v>3200</v>
      </c>
      <c r="B24" t="s">
        <v>41</v>
      </c>
      <c r="C24" t="s">
        <v>39</v>
      </c>
      <c r="D24" t="s">
        <v>39</v>
      </c>
      <c r="E24">
        <v>-2673249</v>
      </c>
    </row>
    <row r="25" spans="1:5" x14ac:dyDescent="0.35">
      <c r="A25">
        <v>4000</v>
      </c>
      <c r="B25" t="s">
        <v>42</v>
      </c>
      <c r="C25" t="s">
        <v>43</v>
      </c>
      <c r="D25" t="s">
        <v>44</v>
      </c>
      <c r="E25">
        <v>-999042</v>
      </c>
    </row>
    <row r="26" spans="1:5" x14ac:dyDescent="0.35">
      <c r="A26">
        <v>4100</v>
      </c>
      <c r="B26" t="s">
        <v>45</v>
      </c>
      <c r="C26" t="s">
        <v>43</v>
      </c>
      <c r="D26" t="s">
        <v>44</v>
      </c>
      <c r="E26">
        <v>-100000</v>
      </c>
    </row>
    <row r="27" spans="1:5" x14ac:dyDescent="0.35">
      <c r="A27">
        <v>5000</v>
      </c>
      <c r="B27" t="s">
        <v>46</v>
      </c>
      <c r="C27" t="s">
        <v>47</v>
      </c>
      <c r="D27" t="s">
        <v>48</v>
      </c>
      <c r="E27">
        <v>64420</v>
      </c>
    </row>
    <row r="28" spans="1:5" x14ac:dyDescent="0.35">
      <c r="A28">
        <v>5100</v>
      </c>
      <c r="B28" t="s">
        <v>49</v>
      </c>
      <c r="C28" t="s">
        <v>47</v>
      </c>
      <c r="D28" t="s">
        <v>48</v>
      </c>
      <c r="E28">
        <v>100000</v>
      </c>
    </row>
    <row r="29" spans="1:5" x14ac:dyDescent="0.35">
      <c r="A29">
        <v>5200</v>
      </c>
      <c r="B29" t="s">
        <v>50</v>
      </c>
      <c r="C29" t="s">
        <v>47</v>
      </c>
      <c r="D29" t="s">
        <v>48</v>
      </c>
      <c r="E29">
        <v>348859</v>
      </c>
    </row>
    <row r="30" spans="1:5" x14ac:dyDescent="0.35">
      <c r="A30">
        <v>5300</v>
      </c>
      <c r="B30" t="s">
        <v>20</v>
      </c>
      <c r="C30" t="s">
        <v>47</v>
      </c>
      <c r="D30" t="s">
        <v>48</v>
      </c>
      <c r="E30">
        <v>124856</v>
      </c>
    </row>
    <row r="31" spans="1:5" x14ac:dyDescent="0.35">
      <c r="A31">
        <v>5310</v>
      </c>
      <c r="B31" t="s">
        <v>22</v>
      </c>
      <c r="C31" t="s">
        <v>47</v>
      </c>
      <c r="D31" t="s">
        <v>48</v>
      </c>
      <c r="E31">
        <v>281940</v>
      </c>
    </row>
    <row r="32" spans="1:5" x14ac:dyDescent="0.35">
      <c r="A32">
        <v>5400</v>
      </c>
      <c r="B32" t="s">
        <v>51</v>
      </c>
      <c r="C32" t="s">
        <v>47</v>
      </c>
      <c r="D32" t="s">
        <v>48</v>
      </c>
      <c r="E32">
        <v>458840</v>
      </c>
    </row>
    <row r="33" spans="1:5" x14ac:dyDescent="0.35">
      <c r="A33">
        <v>5500</v>
      </c>
      <c r="B33" t="s">
        <v>52</v>
      </c>
      <c r="C33" t="s">
        <v>47</v>
      </c>
      <c r="D33" t="s">
        <v>48</v>
      </c>
      <c r="E33">
        <v>277029</v>
      </c>
    </row>
    <row r="34" spans="1:5" x14ac:dyDescent="0.35">
      <c r="A34">
        <v>5600</v>
      </c>
      <c r="B34" t="s">
        <v>53</v>
      </c>
      <c r="C34" t="s">
        <v>47</v>
      </c>
      <c r="D34" t="s">
        <v>48</v>
      </c>
      <c r="E34">
        <v>121998</v>
      </c>
    </row>
    <row r="35" spans="1:5" x14ac:dyDescent="0.35">
      <c r="A35">
        <v>6000</v>
      </c>
      <c r="B35" t="s">
        <v>54</v>
      </c>
      <c r="C35" t="s">
        <v>47</v>
      </c>
      <c r="D35" t="s">
        <v>54</v>
      </c>
      <c r="E35">
        <v>355510</v>
      </c>
    </row>
    <row r="36" spans="1:5" x14ac:dyDescent="0.35">
      <c r="A36">
        <v>6010</v>
      </c>
      <c r="B36" t="s">
        <v>55</v>
      </c>
      <c r="C36" t="s">
        <v>47</v>
      </c>
      <c r="D36" t="s">
        <v>54</v>
      </c>
      <c r="E36">
        <v>416864</v>
      </c>
    </row>
    <row r="37" spans="1:5" x14ac:dyDescent="0.35">
      <c r="A37">
        <v>7000</v>
      </c>
      <c r="B37" t="s">
        <v>56</v>
      </c>
      <c r="C37" t="s">
        <v>47</v>
      </c>
      <c r="D37" t="s">
        <v>57</v>
      </c>
      <c r="E37">
        <v>367993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>
      <selection sqref="A1:I37"/>
    </sheetView>
  </sheetViews>
  <sheetFormatPr baseColWidth="10" defaultColWidth="8.7265625" defaultRowHeight="14.5" x14ac:dyDescent="0.35"/>
  <cols>
    <col min="2" max="2" width="34.90625" customWidth="1"/>
    <col min="4" max="4" width="17.1796875" customWidth="1"/>
    <col min="5" max="5" width="15.26953125" customWidth="1"/>
    <col min="6" max="6" width="13.1796875" customWidth="1"/>
    <col min="7" max="7" width="16.81640625" customWidth="1"/>
    <col min="8" max="8" width="13.7265625" customWidth="1"/>
    <col min="9" max="9" width="17.6328125" customWidth="1"/>
  </cols>
  <sheetData>
    <row r="1" spans="1:9" x14ac:dyDescent="0.35">
      <c r="A1" t="s">
        <v>7</v>
      </c>
      <c r="B1" t="s">
        <v>8</v>
      </c>
      <c r="C1" t="s">
        <v>9</v>
      </c>
      <c r="D1" t="s">
        <v>10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35">
      <c r="A2">
        <v>1000</v>
      </c>
      <c r="B2" t="s">
        <v>12</v>
      </c>
      <c r="C2" t="s">
        <v>13</v>
      </c>
      <c r="D2" t="s">
        <v>14</v>
      </c>
      <c r="E2">
        <f>SUMIF(TB_Mere_IFRS!A:A, A2, TB_Mere_IFRS!E:E)</f>
        <v>131958</v>
      </c>
      <c r="F2">
        <f>SUMIF(TB_FilialeA_IFRS!A:A, A2, TB_FilialeA_IFRS!E:E)</f>
        <v>259342</v>
      </c>
      <c r="G2">
        <f>SUMIF(TB_FilialeB_IFRS!A:A, A2, TB_FilialeB_IFRS!E:E)</f>
        <v>433835</v>
      </c>
      <c r="H2">
        <v>0</v>
      </c>
      <c r="I2">
        <f t="shared" ref="I2:I37" si="0">SUM(E2:H2)</f>
        <v>825135</v>
      </c>
    </row>
    <row r="3" spans="1:9" x14ac:dyDescent="0.35">
      <c r="A3">
        <v>1100</v>
      </c>
      <c r="B3" t="s">
        <v>15</v>
      </c>
      <c r="C3" t="s">
        <v>13</v>
      </c>
      <c r="D3" t="s">
        <v>14</v>
      </c>
      <c r="E3">
        <f>SUMIF(TB_Mere_IFRS!A:A, A3, TB_Mere_IFRS!E:E)</f>
        <v>156867</v>
      </c>
      <c r="F3">
        <f>SUMIF(TB_FilialeA_IFRS!A:A, A3, TB_FilialeA_IFRS!E:E)</f>
        <v>287869</v>
      </c>
      <c r="G3">
        <f>SUMIF(TB_FilialeB_IFRS!A:A, A3, TB_FilialeB_IFRS!E:E)</f>
        <v>76149</v>
      </c>
      <c r="H3">
        <v>0</v>
      </c>
      <c r="I3">
        <f t="shared" si="0"/>
        <v>520885</v>
      </c>
    </row>
    <row r="4" spans="1:9" x14ac:dyDescent="0.35">
      <c r="A4">
        <v>1110</v>
      </c>
      <c r="B4" t="s">
        <v>16</v>
      </c>
      <c r="C4" t="s">
        <v>13</v>
      </c>
      <c r="D4" t="s">
        <v>14</v>
      </c>
      <c r="E4">
        <f>SUMIF(TB_Mere_IFRS!A:A, A4, TB_Mere_IFRS!E:E)</f>
        <v>50000</v>
      </c>
      <c r="F4">
        <f>SUMIF(TB_FilialeA_IFRS!A:A, A4, TB_FilialeA_IFRS!E:E)</f>
        <v>50000</v>
      </c>
      <c r="G4">
        <f>SUMIF(TB_FilialeB_IFRS!A:A, A4, TB_FilialeB_IFRS!E:E)</f>
        <v>50000</v>
      </c>
      <c r="H4">
        <f>-(E4+F4+G4)</f>
        <v>-150000</v>
      </c>
      <c r="I4">
        <f t="shared" si="0"/>
        <v>0</v>
      </c>
    </row>
    <row r="5" spans="1:9" x14ac:dyDescent="0.35">
      <c r="A5">
        <v>1200</v>
      </c>
      <c r="B5" t="s">
        <v>17</v>
      </c>
      <c r="C5" t="s">
        <v>13</v>
      </c>
      <c r="D5" t="s">
        <v>14</v>
      </c>
      <c r="E5">
        <f>SUMIF(TB_Mere_IFRS!A:A, A5, TB_Mere_IFRS!E:E)</f>
        <v>375838</v>
      </c>
      <c r="F5">
        <f>SUMIF(TB_FilialeA_IFRS!A:A, A5, TB_FilialeA_IFRS!E:E)</f>
        <v>27730</v>
      </c>
      <c r="G5">
        <f>SUMIF(TB_FilialeB_IFRS!A:A, A5, TB_FilialeB_IFRS!E:E)</f>
        <v>233833</v>
      </c>
      <c r="H5">
        <v>0</v>
      </c>
      <c r="I5">
        <f t="shared" si="0"/>
        <v>637401</v>
      </c>
    </row>
    <row r="6" spans="1:9" x14ac:dyDescent="0.35">
      <c r="A6">
        <v>1300</v>
      </c>
      <c r="B6" t="s">
        <v>18</v>
      </c>
      <c r="C6" t="s">
        <v>13</v>
      </c>
      <c r="D6" t="s">
        <v>19</v>
      </c>
      <c r="E6">
        <f>SUMIF(TB_Mere_IFRS!A:A, A6, TB_Mere_IFRS!E:E)</f>
        <v>269178</v>
      </c>
      <c r="F6">
        <f>SUMIF(TB_FilialeA_IFRS!A:A, A6, TB_FilialeA_IFRS!E:E)</f>
        <v>202476</v>
      </c>
      <c r="G6">
        <f>SUMIF(TB_FilialeB_IFRS!A:A, A6, TB_FilialeB_IFRS!E:E)</f>
        <v>327482</v>
      </c>
      <c r="H6">
        <v>0</v>
      </c>
      <c r="I6">
        <f t="shared" si="0"/>
        <v>799136</v>
      </c>
    </row>
    <row r="7" spans="1:9" x14ac:dyDescent="0.35">
      <c r="A7">
        <v>1305</v>
      </c>
      <c r="B7" t="s">
        <v>20</v>
      </c>
      <c r="C7" t="s">
        <v>13</v>
      </c>
      <c r="D7" t="s">
        <v>19</v>
      </c>
      <c r="E7">
        <f>SUMIF(TB_Mere_IFRS!A:A, A7, TB_Mere_IFRS!E:E)</f>
        <v>129879</v>
      </c>
      <c r="F7">
        <f>SUMIF(TB_FilialeA_IFRS!A:A, A7, TB_FilialeA_IFRS!E:E)</f>
        <v>392050</v>
      </c>
      <c r="G7">
        <f>SUMIF(TB_FilialeB_IFRS!A:A, A7, TB_FilialeB_IFRS!E:E)</f>
        <v>413951</v>
      </c>
      <c r="H7">
        <v>0</v>
      </c>
      <c r="I7">
        <f t="shared" si="0"/>
        <v>935880</v>
      </c>
    </row>
    <row r="8" spans="1:9" x14ac:dyDescent="0.35">
      <c r="A8">
        <v>1310</v>
      </c>
      <c r="B8" t="s">
        <v>21</v>
      </c>
      <c r="C8" t="s">
        <v>13</v>
      </c>
      <c r="D8" t="s">
        <v>19</v>
      </c>
      <c r="E8">
        <f>SUMIF(TB_Mere_IFRS!A:A, A8, TB_Mere_IFRS!E:E)</f>
        <v>120268</v>
      </c>
      <c r="F8">
        <f>SUMIF(TB_FilialeA_IFRS!A:A, A8, TB_FilialeA_IFRS!E:E)</f>
        <v>204278</v>
      </c>
      <c r="G8">
        <f>SUMIF(TB_FilialeB_IFRS!A:A, A8, TB_FilialeB_IFRS!E:E)</f>
        <v>232108</v>
      </c>
      <c r="H8">
        <v>0</v>
      </c>
      <c r="I8">
        <f t="shared" si="0"/>
        <v>556654</v>
      </c>
    </row>
    <row r="9" spans="1:9" x14ac:dyDescent="0.35">
      <c r="A9">
        <v>1315</v>
      </c>
      <c r="B9" t="s">
        <v>22</v>
      </c>
      <c r="C9" t="s">
        <v>13</v>
      </c>
      <c r="D9" t="s">
        <v>19</v>
      </c>
      <c r="E9">
        <f>SUMIF(TB_Mere_IFRS!A:A, A9, TB_Mere_IFRS!E:E)</f>
        <v>217892</v>
      </c>
      <c r="F9">
        <f>SUMIF(TB_FilialeA_IFRS!A:A, A9, TB_FilialeA_IFRS!E:E)</f>
        <v>156449</v>
      </c>
      <c r="G9">
        <f>SUMIF(TB_FilialeB_IFRS!A:A, A9, TB_FilialeB_IFRS!E:E)</f>
        <v>42622</v>
      </c>
      <c r="H9">
        <v>0</v>
      </c>
      <c r="I9">
        <f t="shared" si="0"/>
        <v>416963</v>
      </c>
    </row>
    <row r="10" spans="1:9" x14ac:dyDescent="0.35">
      <c r="A10">
        <v>1400</v>
      </c>
      <c r="B10" t="s">
        <v>23</v>
      </c>
      <c r="C10" t="s">
        <v>13</v>
      </c>
      <c r="D10" t="s">
        <v>19</v>
      </c>
      <c r="E10">
        <f>SUMIF(TB_Mere_IFRS!A:A, A10, TB_Mere_IFRS!E:E)</f>
        <v>64886</v>
      </c>
      <c r="F10">
        <f>SUMIF(TB_FilialeA_IFRS!A:A, A10, TB_FilialeA_IFRS!E:E)</f>
        <v>476515</v>
      </c>
      <c r="G10">
        <f>SUMIF(TB_FilialeB_IFRS!A:A, A10, TB_FilialeB_IFRS!E:E)</f>
        <v>87647</v>
      </c>
      <c r="H10">
        <v>0</v>
      </c>
      <c r="I10">
        <f t="shared" si="0"/>
        <v>629048</v>
      </c>
    </row>
    <row r="11" spans="1:9" x14ac:dyDescent="0.35">
      <c r="A11">
        <v>1405</v>
      </c>
      <c r="B11" t="s">
        <v>24</v>
      </c>
      <c r="C11" t="s">
        <v>13</v>
      </c>
      <c r="D11" t="s">
        <v>19</v>
      </c>
      <c r="E11">
        <f>SUMIF(TB_Mere_IFRS!A:A, A11, TB_Mere_IFRS!E:E)</f>
        <v>147337</v>
      </c>
      <c r="F11">
        <f>SUMIF(TB_FilialeA_IFRS!A:A, A11, TB_FilialeA_IFRS!E:E)</f>
        <v>139130</v>
      </c>
      <c r="G11">
        <f>SUMIF(TB_FilialeB_IFRS!A:A, A11, TB_FilialeB_IFRS!E:E)</f>
        <v>498570</v>
      </c>
      <c r="H11">
        <v>0</v>
      </c>
      <c r="I11">
        <f t="shared" si="0"/>
        <v>785037</v>
      </c>
    </row>
    <row r="12" spans="1:9" x14ac:dyDescent="0.35">
      <c r="A12">
        <v>1410</v>
      </c>
      <c r="B12" t="s">
        <v>25</v>
      </c>
      <c r="C12" t="s">
        <v>13</v>
      </c>
      <c r="D12" t="s">
        <v>19</v>
      </c>
      <c r="E12">
        <f>SUMIF(TB_Mere_IFRS!A:A, A12, TB_Mere_IFRS!E:E)</f>
        <v>485602</v>
      </c>
      <c r="F12">
        <f>SUMIF(TB_FilialeA_IFRS!A:A, A12, TB_FilialeA_IFRS!E:E)</f>
        <v>56203</v>
      </c>
      <c r="G12">
        <f>SUMIF(TB_FilialeB_IFRS!A:A, A12, TB_FilialeB_IFRS!E:E)</f>
        <v>481284</v>
      </c>
      <c r="H12">
        <v>0</v>
      </c>
      <c r="I12">
        <f t="shared" si="0"/>
        <v>1023089</v>
      </c>
    </row>
    <row r="13" spans="1:9" x14ac:dyDescent="0.35">
      <c r="A13">
        <v>1500</v>
      </c>
      <c r="B13" t="s">
        <v>26</v>
      </c>
      <c r="C13" t="s">
        <v>13</v>
      </c>
      <c r="D13" t="s">
        <v>19</v>
      </c>
      <c r="E13">
        <f>SUMIF(TB_Mere_IFRS!A:A, A13, TB_Mere_IFRS!E:E)</f>
        <v>440410</v>
      </c>
      <c r="F13">
        <f>SUMIF(TB_FilialeA_IFRS!A:A, A13, TB_FilialeA_IFRS!E:E)</f>
        <v>230374</v>
      </c>
      <c r="G13">
        <f>SUMIF(TB_FilialeB_IFRS!A:A, A13, TB_FilialeB_IFRS!E:E)</f>
        <v>185597</v>
      </c>
      <c r="H13">
        <v>0</v>
      </c>
      <c r="I13">
        <f t="shared" si="0"/>
        <v>856381</v>
      </c>
    </row>
    <row r="14" spans="1:9" x14ac:dyDescent="0.35">
      <c r="A14">
        <v>2000</v>
      </c>
      <c r="B14" t="s">
        <v>27</v>
      </c>
      <c r="C14" t="s">
        <v>28</v>
      </c>
      <c r="D14" t="s">
        <v>29</v>
      </c>
      <c r="E14">
        <f>SUMIF(TB_Mere_IFRS!A:A, A14, TB_Mere_IFRS!E:E)</f>
        <v>-97498</v>
      </c>
      <c r="F14">
        <f>SUMIF(TB_FilialeA_IFRS!A:A, A14, TB_FilialeA_IFRS!E:E)</f>
        <v>-163313</v>
      </c>
      <c r="G14">
        <f>SUMIF(TB_FilialeB_IFRS!A:A, A14, TB_FilialeB_IFRS!E:E)</f>
        <v>-361292</v>
      </c>
      <c r="H14">
        <v>0</v>
      </c>
      <c r="I14">
        <f t="shared" si="0"/>
        <v>-622103</v>
      </c>
    </row>
    <row r="15" spans="1:9" x14ac:dyDescent="0.35">
      <c r="A15">
        <v>2010</v>
      </c>
      <c r="B15" t="s">
        <v>30</v>
      </c>
      <c r="C15" t="s">
        <v>28</v>
      </c>
      <c r="D15" t="s">
        <v>29</v>
      </c>
      <c r="E15">
        <f>SUMIF(TB_Mere_IFRS!A:A, A15, TB_Mere_IFRS!E:E)</f>
        <v>-50000</v>
      </c>
      <c r="F15">
        <f>SUMIF(TB_FilialeA_IFRS!A:A, A15, TB_FilialeA_IFRS!E:E)</f>
        <v>-50000</v>
      </c>
      <c r="G15">
        <f>SUMIF(TB_FilialeB_IFRS!A:A, A15, TB_FilialeB_IFRS!E:E)</f>
        <v>-50000</v>
      </c>
      <c r="H15">
        <f>-(E15+F15+G15)</f>
        <v>150000</v>
      </c>
      <c r="I15">
        <f t="shared" si="0"/>
        <v>0</v>
      </c>
    </row>
    <row r="16" spans="1:9" x14ac:dyDescent="0.35">
      <c r="A16">
        <v>2100</v>
      </c>
      <c r="B16" t="s">
        <v>31</v>
      </c>
      <c r="C16" t="s">
        <v>28</v>
      </c>
      <c r="D16" t="s">
        <v>29</v>
      </c>
      <c r="E16">
        <f>SUMIF(TB_Mere_IFRS!A:A, A16, TB_Mere_IFRS!E:E)</f>
        <v>-398468</v>
      </c>
      <c r="F16">
        <f>SUMIF(TB_FilialeA_IFRS!A:A, A16, TB_FilialeA_IFRS!E:E)</f>
        <v>-458625</v>
      </c>
      <c r="G16">
        <f>SUMIF(TB_FilialeB_IFRS!A:A, A16, TB_FilialeB_IFRS!E:E)</f>
        <v>-371893</v>
      </c>
      <c r="H16">
        <v>0</v>
      </c>
      <c r="I16">
        <f t="shared" si="0"/>
        <v>-1228986</v>
      </c>
    </row>
    <row r="17" spans="1:9" x14ac:dyDescent="0.35">
      <c r="A17">
        <v>2200</v>
      </c>
      <c r="B17" t="s">
        <v>32</v>
      </c>
      <c r="C17" t="s">
        <v>28</v>
      </c>
      <c r="D17" t="s">
        <v>29</v>
      </c>
      <c r="E17">
        <f>SUMIF(TB_Mere_IFRS!A:A, A17, TB_Mere_IFRS!E:E)</f>
        <v>-185203</v>
      </c>
      <c r="F17">
        <f>SUMIF(TB_FilialeA_IFRS!A:A, A17, TB_FilialeA_IFRS!E:E)</f>
        <v>-426382</v>
      </c>
      <c r="G17">
        <f>SUMIF(TB_FilialeB_IFRS!A:A, A17, TB_FilialeB_IFRS!E:E)</f>
        <v>-135148</v>
      </c>
      <c r="H17">
        <v>0</v>
      </c>
      <c r="I17">
        <f t="shared" si="0"/>
        <v>-746733</v>
      </c>
    </row>
    <row r="18" spans="1:9" x14ac:dyDescent="0.35">
      <c r="A18">
        <v>2300</v>
      </c>
      <c r="B18" t="s">
        <v>33</v>
      </c>
      <c r="C18" t="s">
        <v>28</v>
      </c>
      <c r="D18" t="s">
        <v>29</v>
      </c>
      <c r="E18">
        <f>SUMIF(TB_Mere_IFRS!A:A, A18, TB_Mere_IFRS!E:E)</f>
        <v>-201335</v>
      </c>
      <c r="F18">
        <f>SUMIF(TB_FilialeA_IFRS!A:A, A18, TB_FilialeA_IFRS!E:E)</f>
        <v>-259903</v>
      </c>
      <c r="G18">
        <f>SUMIF(TB_FilialeB_IFRS!A:A, A18, TB_FilialeB_IFRS!E:E)</f>
        <v>-331191</v>
      </c>
      <c r="H18">
        <v>0</v>
      </c>
      <c r="I18">
        <f t="shared" si="0"/>
        <v>-792429</v>
      </c>
    </row>
    <row r="19" spans="1:9" x14ac:dyDescent="0.35">
      <c r="A19">
        <v>2400</v>
      </c>
      <c r="B19" t="s">
        <v>34</v>
      </c>
      <c r="C19" t="s">
        <v>28</v>
      </c>
      <c r="D19" t="s">
        <v>35</v>
      </c>
      <c r="E19">
        <f>SUMIF(TB_Mere_IFRS!A:A, A19, TB_Mere_IFRS!E:E)</f>
        <v>-288167</v>
      </c>
      <c r="F19">
        <f>SUMIF(TB_FilialeA_IFRS!A:A, A19, TB_FilialeA_IFRS!E:E)</f>
        <v>-128857</v>
      </c>
      <c r="G19">
        <f>SUMIF(TB_FilialeB_IFRS!A:A, A19, TB_FilialeB_IFRS!E:E)</f>
        <v>-179425</v>
      </c>
      <c r="H19">
        <v>0</v>
      </c>
      <c r="I19">
        <f t="shared" si="0"/>
        <v>-596449</v>
      </c>
    </row>
    <row r="20" spans="1:9" x14ac:dyDescent="0.35">
      <c r="A20">
        <v>2500</v>
      </c>
      <c r="B20" t="s">
        <v>36</v>
      </c>
      <c r="C20" t="s">
        <v>28</v>
      </c>
      <c r="D20" t="s">
        <v>35</v>
      </c>
      <c r="E20">
        <f>SUMIF(TB_Mere_IFRS!A:A, A20, TB_Mere_IFRS!E:E)</f>
        <v>-51090</v>
      </c>
      <c r="F20">
        <f>SUMIF(TB_FilialeA_IFRS!A:A, A20, TB_FilialeA_IFRS!E:E)</f>
        <v>-81200</v>
      </c>
      <c r="G20">
        <f>SUMIF(TB_FilialeB_IFRS!A:A, A20, TB_FilialeB_IFRS!E:E)</f>
        <v>-108059</v>
      </c>
      <c r="H20">
        <v>0</v>
      </c>
      <c r="I20">
        <f t="shared" si="0"/>
        <v>-240349</v>
      </c>
    </row>
    <row r="21" spans="1:9" x14ac:dyDescent="0.35">
      <c r="A21">
        <v>2600</v>
      </c>
      <c r="B21" t="s">
        <v>37</v>
      </c>
      <c r="C21" t="s">
        <v>28</v>
      </c>
      <c r="D21" t="s">
        <v>35</v>
      </c>
      <c r="E21">
        <f>SUMIF(TB_Mere_IFRS!A:A, A21, TB_Mere_IFRS!E:E)</f>
        <v>-339365</v>
      </c>
      <c r="F21">
        <f>SUMIF(TB_FilialeA_IFRS!A:A, A21, TB_FilialeA_IFRS!E:E)</f>
        <v>-174782</v>
      </c>
      <c r="G21">
        <f>SUMIF(TB_FilialeB_IFRS!A:A, A21, TB_FilialeB_IFRS!E:E)</f>
        <v>-126200</v>
      </c>
      <c r="H21">
        <v>0</v>
      </c>
      <c r="I21">
        <f t="shared" si="0"/>
        <v>-640347</v>
      </c>
    </row>
    <row r="22" spans="1:9" x14ac:dyDescent="0.35">
      <c r="A22">
        <v>3000</v>
      </c>
      <c r="B22" t="s">
        <v>38</v>
      </c>
      <c r="C22" t="s">
        <v>39</v>
      </c>
      <c r="D22" t="s">
        <v>39</v>
      </c>
      <c r="E22">
        <f>SUMIF(TB_Mere_IFRS!A:A, A22, TB_Mere_IFRS!E:E)</f>
        <v>-74820</v>
      </c>
      <c r="F22">
        <f>SUMIF(TB_FilialeA_IFRS!A:A, A22, TB_FilialeA_IFRS!E:E)</f>
        <v>-206719</v>
      </c>
      <c r="G22">
        <f>SUMIF(TB_FilialeB_IFRS!A:A, A22, TB_FilialeB_IFRS!E:E)</f>
        <v>-54787</v>
      </c>
      <c r="H22">
        <v>0</v>
      </c>
      <c r="I22">
        <f t="shared" si="0"/>
        <v>-336326</v>
      </c>
    </row>
    <row r="23" spans="1:9" x14ac:dyDescent="0.35">
      <c r="A23">
        <v>3100</v>
      </c>
      <c r="B23" t="s">
        <v>40</v>
      </c>
      <c r="C23" t="s">
        <v>39</v>
      </c>
      <c r="D23" t="s">
        <v>39</v>
      </c>
      <c r="E23">
        <f>SUMIF(TB_Mere_IFRS!A:A, A23, TB_Mere_IFRS!E:E)</f>
        <v>-272913</v>
      </c>
      <c r="F23">
        <f>SUMIF(TB_FilialeA_IFRS!A:A, A23, TB_FilialeA_IFRS!E:E)</f>
        <v>-242857</v>
      </c>
      <c r="G23">
        <f>SUMIF(TB_FilialeB_IFRS!A:A, A23, TB_FilialeB_IFRS!E:E)</f>
        <v>-491101</v>
      </c>
      <c r="H23">
        <v>0</v>
      </c>
      <c r="I23">
        <f t="shared" si="0"/>
        <v>-1006871</v>
      </c>
    </row>
    <row r="24" spans="1:9" x14ac:dyDescent="0.35">
      <c r="A24">
        <v>3200</v>
      </c>
      <c r="B24" t="s">
        <v>41</v>
      </c>
      <c r="C24" t="s">
        <v>39</v>
      </c>
      <c r="D24" t="s">
        <v>39</v>
      </c>
      <c r="E24">
        <f>SUMIF(TB_Mere_IFRS!A:A, A24, TB_Mere_IFRS!E:E)</f>
        <v>-2992116</v>
      </c>
      <c r="F24">
        <f>SUMIF(TB_FilialeA_IFRS!A:A, A24, TB_FilialeA_IFRS!E:E)</f>
        <v>-2507966</v>
      </c>
      <c r="G24">
        <f>SUMIF(TB_FilialeB_IFRS!A:A, A24, TB_FilialeB_IFRS!E:E)</f>
        <v>-2673249</v>
      </c>
      <c r="H24">
        <v>0</v>
      </c>
      <c r="I24">
        <f t="shared" si="0"/>
        <v>-8173331</v>
      </c>
    </row>
    <row r="25" spans="1:9" x14ac:dyDescent="0.35">
      <c r="A25">
        <v>4000</v>
      </c>
      <c r="B25" t="s">
        <v>42</v>
      </c>
      <c r="C25" t="s">
        <v>43</v>
      </c>
      <c r="D25" t="s">
        <v>44</v>
      </c>
      <c r="E25">
        <f>SUMIF(TB_Mere_IFRS!A:A, A25, TB_Mere_IFRS!E:E)</f>
        <v>-818315</v>
      </c>
      <c r="F25">
        <f>SUMIF(TB_FilialeA_IFRS!A:A, A25, TB_FilialeA_IFRS!E:E)</f>
        <v>-659950</v>
      </c>
      <c r="G25">
        <f>SUMIF(TB_FilialeB_IFRS!A:A, A25, TB_FilialeB_IFRS!E:E)</f>
        <v>-999042</v>
      </c>
      <c r="H25">
        <v>0</v>
      </c>
      <c r="I25">
        <f t="shared" si="0"/>
        <v>-2477307</v>
      </c>
    </row>
    <row r="26" spans="1:9" x14ac:dyDescent="0.35">
      <c r="A26">
        <v>4100</v>
      </c>
      <c r="B26" t="s">
        <v>45</v>
      </c>
      <c r="C26" t="s">
        <v>43</v>
      </c>
      <c r="D26" t="s">
        <v>44</v>
      </c>
      <c r="E26">
        <f>SUMIF(TB_Mere_IFRS!A:A, A26, TB_Mere_IFRS!E:E)</f>
        <v>-100000</v>
      </c>
      <c r="F26">
        <f>SUMIF(TB_FilialeA_IFRS!A:A, A26, TB_FilialeA_IFRS!E:E)</f>
        <v>-100000</v>
      </c>
      <c r="G26">
        <f>SUMIF(TB_FilialeB_IFRS!A:A, A26, TB_FilialeB_IFRS!E:E)</f>
        <v>-100000</v>
      </c>
      <c r="H26">
        <f>-(E26+F26+G26)</f>
        <v>300000</v>
      </c>
      <c r="I26">
        <f t="shared" si="0"/>
        <v>0</v>
      </c>
    </row>
    <row r="27" spans="1:9" x14ac:dyDescent="0.35">
      <c r="A27">
        <v>5000</v>
      </c>
      <c r="B27" t="s">
        <v>46</v>
      </c>
      <c r="C27" t="s">
        <v>47</v>
      </c>
      <c r="D27" t="s">
        <v>48</v>
      </c>
      <c r="E27">
        <f>SUMIF(TB_Mere_IFRS!A:A, A27, TB_Mere_IFRS!E:E)</f>
        <v>302709</v>
      </c>
      <c r="F27">
        <f>SUMIF(TB_FilialeA_IFRS!A:A, A27, TB_FilialeA_IFRS!E:E)</f>
        <v>277748</v>
      </c>
      <c r="G27">
        <f>SUMIF(TB_FilialeB_IFRS!A:A, A27, TB_FilialeB_IFRS!E:E)</f>
        <v>64420</v>
      </c>
      <c r="H27">
        <v>0</v>
      </c>
      <c r="I27">
        <f t="shared" si="0"/>
        <v>644877</v>
      </c>
    </row>
    <row r="28" spans="1:9" x14ac:dyDescent="0.35">
      <c r="A28">
        <v>5100</v>
      </c>
      <c r="B28" t="s">
        <v>49</v>
      </c>
      <c r="C28" t="s">
        <v>47</v>
      </c>
      <c r="D28" t="s">
        <v>48</v>
      </c>
      <c r="E28">
        <f>SUMIF(TB_Mere_IFRS!A:A, A28, TB_Mere_IFRS!E:E)</f>
        <v>100000</v>
      </c>
      <c r="F28">
        <f>SUMIF(TB_FilialeA_IFRS!A:A, A28, TB_FilialeA_IFRS!E:E)</f>
        <v>100000</v>
      </c>
      <c r="G28">
        <f>SUMIF(TB_FilialeB_IFRS!A:A, A28, TB_FilialeB_IFRS!E:E)</f>
        <v>100000</v>
      </c>
      <c r="H28">
        <f>-(E28+F28+G28)</f>
        <v>-300000</v>
      </c>
      <c r="I28">
        <f t="shared" si="0"/>
        <v>0</v>
      </c>
    </row>
    <row r="29" spans="1:9" x14ac:dyDescent="0.35">
      <c r="A29">
        <v>5200</v>
      </c>
      <c r="B29" t="s">
        <v>50</v>
      </c>
      <c r="C29" t="s">
        <v>47</v>
      </c>
      <c r="D29" t="s">
        <v>48</v>
      </c>
      <c r="E29">
        <f>SUMIF(TB_Mere_IFRS!A:A, A29, TB_Mere_IFRS!E:E)</f>
        <v>317455</v>
      </c>
      <c r="F29">
        <f>SUMIF(TB_FilialeA_IFRS!A:A, A29, TB_FilialeA_IFRS!E:E)</f>
        <v>180256</v>
      </c>
      <c r="G29">
        <f>SUMIF(TB_FilialeB_IFRS!A:A, A29, TB_FilialeB_IFRS!E:E)</f>
        <v>348859</v>
      </c>
      <c r="H29">
        <v>0</v>
      </c>
      <c r="I29">
        <f t="shared" si="0"/>
        <v>846570</v>
      </c>
    </row>
    <row r="30" spans="1:9" x14ac:dyDescent="0.35">
      <c r="A30">
        <v>5300</v>
      </c>
      <c r="B30" t="s">
        <v>20</v>
      </c>
      <c r="C30" t="s">
        <v>47</v>
      </c>
      <c r="D30" t="s">
        <v>48</v>
      </c>
      <c r="E30">
        <f>SUMIF(TB_Mere_IFRS!A:A, A30, TB_Mere_IFRS!E:E)</f>
        <v>153355</v>
      </c>
      <c r="F30">
        <f>SUMIF(TB_FilialeA_IFRS!A:A, A30, TB_FilialeA_IFRS!E:E)</f>
        <v>395156</v>
      </c>
      <c r="G30">
        <f>SUMIF(TB_FilialeB_IFRS!A:A, A30, TB_FilialeB_IFRS!E:E)</f>
        <v>124856</v>
      </c>
      <c r="H30">
        <v>0</v>
      </c>
      <c r="I30">
        <f t="shared" si="0"/>
        <v>673367</v>
      </c>
    </row>
    <row r="31" spans="1:9" x14ac:dyDescent="0.35">
      <c r="A31">
        <v>5310</v>
      </c>
      <c r="B31" t="s">
        <v>22</v>
      </c>
      <c r="C31" t="s">
        <v>47</v>
      </c>
      <c r="D31" t="s">
        <v>48</v>
      </c>
      <c r="E31">
        <f>SUMIF(TB_Mere_IFRS!A:A, A31, TB_Mere_IFRS!E:E)</f>
        <v>285796</v>
      </c>
      <c r="F31">
        <f>SUMIF(TB_FilialeA_IFRS!A:A, A31, TB_FilialeA_IFRS!E:E)</f>
        <v>385665</v>
      </c>
      <c r="G31">
        <f>SUMIF(TB_FilialeB_IFRS!A:A, A31, TB_FilialeB_IFRS!E:E)</f>
        <v>281940</v>
      </c>
      <c r="H31">
        <v>0</v>
      </c>
      <c r="I31">
        <f t="shared" si="0"/>
        <v>953401</v>
      </c>
    </row>
    <row r="32" spans="1:9" x14ac:dyDescent="0.35">
      <c r="A32">
        <v>5400</v>
      </c>
      <c r="B32" t="s">
        <v>51</v>
      </c>
      <c r="C32" t="s">
        <v>47</v>
      </c>
      <c r="D32" t="s">
        <v>48</v>
      </c>
      <c r="E32">
        <f>SUMIF(TB_Mere_IFRS!A:A, A32, TB_Mere_IFRS!E:E)</f>
        <v>264176</v>
      </c>
      <c r="F32">
        <f>SUMIF(TB_FilialeA_IFRS!A:A, A32, TB_FilialeA_IFRS!E:E)</f>
        <v>357651</v>
      </c>
      <c r="G32">
        <f>SUMIF(TB_FilialeB_IFRS!A:A, A32, TB_FilialeB_IFRS!E:E)</f>
        <v>458840</v>
      </c>
      <c r="H32">
        <v>0</v>
      </c>
      <c r="I32">
        <f t="shared" si="0"/>
        <v>1080667</v>
      </c>
    </row>
    <row r="33" spans="1:9" x14ac:dyDescent="0.35">
      <c r="A33">
        <v>5500</v>
      </c>
      <c r="B33" t="s">
        <v>52</v>
      </c>
      <c r="C33" t="s">
        <v>47</v>
      </c>
      <c r="D33" t="s">
        <v>48</v>
      </c>
      <c r="E33">
        <f>SUMIF(TB_Mere_IFRS!A:A, A33, TB_Mere_IFRS!E:E)</f>
        <v>234779</v>
      </c>
      <c r="F33">
        <f>SUMIF(TB_FilialeA_IFRS!A:A, A33, TB_FilialeA_IFRS!E:E)</f>
        <v>207698</v>
      </c>
      <c r="G33">
        <f>SUMIF(TB_FilialeB_IFRS!A:A, A33, TB_FilialeB_IFRS!E:E)</f>
        <v>277029</v>
      </c>
      <c r="H33">
        <v>0</v>
      </c>
      <c r="I33">
        <f t="shared" si="0"/>
        <v>719506</v>
      </c>
    </row>
    <row r="34" spans="1:9" x14ac:dyDescent="0.35">
      <c r="A34">
        <v>5600</v>
      </c>
      <c r="B34" t="s">
        <v>53</v>
      </c>
      <c r="C34" t="s">
        <v>47</v>
      </c>
      <c r="D34" t="s">
        <v>48</v>
      </c>
      <c r="E34">
        <f>SUMIF(TB_Mere_IFRS!A:A, A34, TB_Mere_IFRS!E:E)</f>
        <v>397449</v>
      </c>
      <c r="F34">
        <f>SUMIF(TB_FilialeA_IFRS!A:A, A34, TB_FilialeA_IFRS!E:E)</f>
        <v>295799</v>
      </c>
      <c r="G34">
        <f>SUMIF(TB_FilialeB_IFRS!A:A, A34, TB_FilialeB_IFRS!E:E)</f>
        <v>121998</v>
      </c>
      <c r="H34">
        <v>0</v>
      </c>
      <c r="I34">
        <f t="shared" si="0"/>
        <v>815246</v>
      </c>
    </row>
    <row r="35" spans="1:9" x14ac:dyDescent="0.35">
      <c r="A35">
        <v>6000</v>
      </c>
      <c r="B35" t="s">
        <v>54</v>
      </c>
      <c r="C35" t="s">
        <v>47</v>
      </c>
      <c r="D35" t="s">
        <v>54</v>
      </c>
      <c r="E35">
        <f>SUMIF(TB_Mere_IFRS!A:A, A35, TB_Mere_IFRS!E:E)</f>
        <v>471909</v>
      </c>
      <c r="F35">
        <f>SUMIF(TB_FilialeA_IFRS!A:A, A35, TB_FilialeA_IFRS!E:E)</f>
        <v>264338</v>
      </c>
      <c r="G35">
        <f>SUMIF(TB_FilialeB_IFRS!A:A, A35, TB_FilialeB_IFRS!E:E)</f>
        <v>355510</v>
      </c>
      <c r="H35">
        <v>0</v>
      </c>
      <c r="I35">
        <f t="shared" si="0"/>
        <v>1091757</v>
      </c>
    </row>
    <row r="36" spans="1:9" x14ac:dyDescent="0.35">
      <c r="A36">
        <v>6010</v>
      </c>
      <c r="B36" t="s">
        <v>55</v>
      </c>
      <c r="C36" t="s">
        <v>47</v>
      </c>
      <c r="D36" t="s">
        <v>54</v>
      </c>
      <c r="E36">
        <f>SUMIF(TB_Mere_IFRS!A:A, A36, TB_Mere_IFRS!E:E)</f>
        <v>308795</v>
      </c>
      <c r="F36">
        <f>SUMIF(TB_FilialeA_IFRS!A:A, A36, TB_FilialeA_IFRS!E:E)</f>
        <v>433572</v>
      </c>
      <c r="G36">
        <f>SUMIF(TB_FilialeB_IFRS!A:A, A36, TB_FilialeB_IFRS!E:E)</f>
        <v>416864</v>
      </c>
      <c r="H36">
        <v>0</v>
      </c>
      <c r="I36">
        <f t="shared" si="0"/>
        <v>1159231</v>
      </c>
    </row>
    <row r="37" spans="1:9" x14ac:dyDescent="0.35">
      <c r="A37">
        <v>7000</v>
      </c>
      <c r="B37" t="s">
        <v>56</v>
      </c>
      <c r="C37" t="s">
        <v>47</v>
      </c>
      <c r="D37" t="s">
        <v>57</v>
      </c>
      <c r="E37">
        <f>SUMIF(TB_Mere_IFRS!A:A, A37, TB_Mere_IFRS!E:E)</f>
        <v>442752</v>
      </c>
      <c r="F37">
        <f>SUMIF(TB_FilialeA_IFRS!A:A, A37, TB_FilialeA_IFRS!E:E)</f>
        <v>80255</v>
      </c>
      <c r="G37">
        <f>SUMIF(TB_FilialeB_IFRS!A:A, A37, TB_FilialeB_IFRS!E:E)</f>
        <v>367993</v>
      </c>
      <c r="H37">
        <v>0</v>
      </c>
      <c r="I37">
        <f t="shared" si="0"/>
        <v>891000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selection sqref="A1:F3"/>
    </sheetView>
  </sheetViews>
  <sheetFormatPr baseColWidth="10" defaultColWidth="8.7265625" defaultRowHeight="14.5" x14ac:dyDescent="0.35"/>
  <cols>
    <col min="1" max="1" width="15.453125" customWidth="1"/>
    <col min="2" max="2" width="12.26953125" customWidth="1"/>
    <col min="3" max="3" width="9.453125" customWidth="1"/>
    <col min="6" max="6" width="34.6328125" customWidth="1"/>
  </cols>
  <sheetData>
    <row r="1" spans="1:6" x14ac:dyDescent="0.35">
      <c r="A1" t="s">
        <v>63</v>
      </c>
      <c r="B1" t="s">
        <v>64</v>
      </c>
      <c r="C1" t="s">
        <v>8</v>
      </c>
      <c r="D1" t="s">
        <v>65</v>
      </c>
      <c r="E1" t="s">
        <v>66</v>
      </c>
      <c r="F1" t="s">
        <v>67</v>
      </c>
    </row>
    <row r="2" spans="1:6" x14ac:dyDescent="0.35">
      <c r="A2" t="s">
        <v>68</v>
      </c>
      <c r="B2">
        <v>5200</v>
      </c>
      <c r="C2" t="s">
        <v>50</v>
      </c>
      <c r="D2">
        <v>25000</v>
      </c>
      <c r="E2">
        <v>0</v>
      </c>
      <c r="F2" t="s">
        <v>69</v>
      </c>
    </row>
    <row r="3" spans="1:6" x14ac:dyDescent="0.35">
      <c r="A3" t="s">
        <v>68</v>
      </c>
      <c r="B3">
        <v>1400</v>
      </c>
      <c r="C3" t="s">
        <v>23</v>
      </c>
      <c r="D3">
        <v>0</v>
      </c>
      <c r="E3">
        <v>25000</v>
      </c>
      <c r="F3" t="s">
        <v>70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sqref="A1:F3"/>
    </sheetView>
  </sheetViews>
  <sheetFormatPr baseColWidth="10" defaultColWidth="8.7265625" defaultRowHeight="14.5" x14ac:dyDescent="0.35"/>
  <cols>
    <col min="1" max="1" width="15.453125" customWidth="1"/>
    <col min="2" max="2" width="12.26953125" customWidth="1"/>
    <col min="3" max="3" width="9.453125" customWidth="1"/>
    <col min="6" max="6" width="12.36328125" customWidth="1"/>
  </cols>
  <sheetData>
    <row r="1" spans="1:6" x14ac:dyDescent="0.35">
      <c r="A1" t="s">
        <v>63</v>
      </c>
      <c r="B1" t="s">
        <v>64</v>
      </c>
      <c r="C1" t="s">
        <v>8</v>
      </c>
      <c r="D1" t="s">
        <v>65</v>
      </c>
      <c r="E1" t="s">
        <v>66</v>
      </c>
      <c r="F1" t="s">
        <v>67</v>
      </c>
    </row>
    <row r="2" spans="1:6" x14ac:dyDescent="0.35">
      <c r="A2" t="s">
        <v>71</v>
      </c>
      <c r="B2">
        <v>5300</v>
      </c>
      <c r="C2" t="s">
        <v>20</v>
      </c>
      <c r="D2">
        <v>10000</v>
      </c>
      <c r="E2">
        <v>0</v>
      </c>
      <c r="F2" t="s">
        <v>72</v>
      </c>
    </row>
    <row r="3" spans="1:6" x14ac:dyDescent="0.35">
      <c r="A3" t="s">
        <v>71</v>
      </c>
      <c r="B3">
        <v>1410</v>
      </c>
      <c r="C3" t="s">
        <v>25</v>
      </c>
      <c r="D3">
        <v>0</v>
      </c>
      <c r="E3">
        <v>10000</v>
      </c>
      <c r="F3" t="s">
        <v>73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tabSelected="1" workbookViewId="0">
      <selection activeCell="K7" sqref="K7"/>
    </sheetView>
  </sheetViews>
  <sheetFormatPr baseColWidth="10" defaultColWidth="8.7265625" defaultRowHeight="14.5" x14ac:dyDescent="0.35"/>
  <cols>
    <col min="2" max="2" width="9.453125" customWidth="1"/>
    <col min="3" max="3" width="15.453125" customWidth="1"/>
    <col min="4" max="4" width="14.54296875" customWidth="1"/>
    <col min="5" max="5" width="19.90625" customWidth="1"/>
    <col min="6" max="6" width="14.7265625" customWidth="1"/>
    <col min="7" max="7" width="20.08984375" customWidth="1"/>
  </cols>
  <sheetData>
    <row r="1" spans="1:7" x14ac:dyDescent="0.35">
      <c r="A1" t="s">
        <v>7</v>
      </c>
      <c r="B1" t="s">
        <v>8</v>
      </c>
      <c r="C1" t="s">
        <v>62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35">
      <c r="A2">
        <v>1000</v>
      </c>
      <c r="B2" t="s">
        <v>12</v>
      </c>
      <c r="C2">
        <f>Consolidation_IFRS!I2</f>
        <v>825135</v>
      </c>
      <c r="D2">
        <f>SUMIF(Adj_US_GAAP!B:B, A2, Adj_US_GAAP!D:D) - SUMIF(Adj_US_GAAP!B:B, A2, Adj_US_GAAP!E:E)</f>
        <v>0</v>
      </c>
      <c r="E2">
        <f t="shared" ref="E2:E37" si="0">C2 + D2</f>
        <v>825135</v>
      </c>
      <c r="F2">
        <f>SUMIF(Adj_UK_GAAP!B:B, A2, Adj_UK_GAAP!D:D) - SUMIF(Adj_UK_GAAP!B:B, A2, Adj_UK_GAAP!E:E)</f>
        <v>0</v>
      </c>
      <c r="G2">
        <f t="shared" ref="G2:G37" si="1">C2 + F2</f>
        <v>825135</v>
      </c>
    </row>
    <row r="3" spans="1:7" x14ac:dyDescent="0.35">
      <c r="A3">
        <v>1100</v>
      </c>
      <c r="B3" t="s">
        <v>15</v>
      </c>
      <c r="C3">
        <f>Consolidation_IFRS!I3</f>
        <v>520885</v>
      </c>
      <c r="D3">
        <f>SUMIF(Adj_US_GAAP!B:B, A3, Adj_US_GAAP!D:D) - SUMIF(Adj_US_GAAP!B:B, A3, Adj_US_GAAP!E:E)</f>
        <v>0</v>
      </c>
      <c r="E3">
        <f t="shared" si="0"/>
        <v>520885</v>
      </c>
      <c r="F3">
        <f>SUMIF(Adj_UK_GAAP!B:B, A3, Adj_UK_GAAP!D:D) - SUMIF(Adj_UK_GAAP!B:B, A3, Adj_UK_GAAP!E:E)</f>
        <v>0</v>
      </c>
      <c r="G3">
        <f t="shared" si="1"/>
        <v>520885</v>
      </c>
    </row>
    <row r="4" spans="1:7" x14ac:dyDescent="0.35">
      <c r="A4">
        <v>1110</v>
      </c>
      <c r="B4" t="s">
        <v>16</v>
      </c>
      <c r="C4">
        <f>Consolidation_IFRS!I4</f>
        <v>0</v>
      </c>
      <c r="D4">
        <f>SUMIF(Adj_US_GAAP!B:B, A4, Adj_US_GAAP!D:D) - SUMIF(Adj_US_GAAP!B:B, A4, Adj_US_GAAP!E:E)</f>
        <v>0</v>
      </c>
      <c r="E4">
        <f t="shared" si="0"/>
        <v>0</v>
      </c>
      <c r="F4">
        <f>SUMIF(Adj_UK_GAAP!B:B, A4, Adj_UK_GAAP!D:D) - SUMIF(Adj_UK_GAAP!B:B, A4, Adj_UK_GAAP!E:E)</f>
        <v>0</v>
      </c>
      <c r="G4">
        <f t="shared" si="1"/>
        <v>0</v>
      </c>
    </row>
    <row r="5" spans="1:7" x14ac:dyDescent="0.35">
      <c r="A5">
        <v>1200</v>
      </c>
      <c r="B5" t="s">
        <v>17</v>
      </c>
      <c r="C5">
        <f>Consolidation_IFRS!I5</f>
        <v>637401</v>
      </c>
      <c r="D5">
        <f>SUMIF(Adj_US_GAAP!B:B, A5, Adj_US_GAAP!D:D) - SUMIF(Adj_US_GAAP!B:B, A5, Adj_US_GAAP!E:E)</f>
        <v>0</v>
      </c>
      <c r="E5">
        <f t="shared" si="0"/>
        <v>637401</v>
      </c>
      <c r="F5">
        <f>SUMIF(Adj_UK_GAAP!B:B, A5, Adj_UK_GAAP!D:D) - SUMIF(Adj_UK_GAAP!B:B, A5, Adj_UK_GAAP!E:E)</f>
        <v>0</v>
      </c>
      <c r="G5">
        <f t="shared" si="1"/>
        <v>637401</v>
      </c>
    </row>
    <row r="6" spans="1:7" x14ac:dyDescent="0.35">
      <c r="A6">
        <v>1300</v>
      </c>
      <c r="B6" t="s">
        <v>18</v>
      </c>
      <c r="C6">
        <f>Consolidation_IFRS!I6</f>
        <v>799136</v>
      </c>
      <c r="D6">
        <f>SUMIF(Adj_US_GAAP!B:B, A6, Adj_US_GAAP!D:D) - SUMIF(Adj_US_GAAP!B:B, A6, Adj_US_GAAP!E:E)</f>
        <v>0</v>
      </c>
      <c r="E6">
        <f t="shared" si="0"/>
        <v>799136</v>
      </c>
      <c r="F6">
        <f>SUMIF(Adj_UK_GAAP!B:B, A6, Adj_UK_GAAP!D:D) - SUMIF(Adj_UK_GAAP!B:B, A6, Adj_UK_GAAP!E:E)</f>
        <v>0</v>
      </c>
      <c r="G6">
        <f t="shared" si="1"/>
        <v>799136</v>
      </c>
    </row>
    <row r="7" spans="1:7" x14ac:dyDescent="0.35">
      <c r="A7">
        <v>1305</v>
      </c>
      <c r="B7" t="s">
        <v>20</v>
      </c>
      <c r="C7">
        <f>Consolidation_IFRS!I7</f>
        <v>935880</v>
      </c>
      <c r="D7">
        <f>SUMIF(Adj_US_GAAP!B:B, A7, Adj_US_GAAP!D:D) - SUMIF(Adj_US_GAAP!B:B, A7, Adj_US_GAAP!E:E)</f>
        <v>0</v>
      </c>
      <c r="E7">
        <f t="shared" si="0"/>
        <v>935880</v>
      </c>
      <c r="F7">
        <f>SUMIF(Adj_UK_GAAP!B:B, A7, Adj_UK_GAAP!D:D) - SUMIF(Adj_UK_GAAP!B:B, A7, Adj_UK_GAAP!E:E)</f>
        <v>0</v>
      </c>
      <c r="G7">
        <f t="shared" si="1"/>
        <v>935880</v>
      </c>
    </row>
    <row r="8" spans="1:7" x14ac:dyDescent="0.35">
      <c r="A8">
        <v>1310</v>
      </c>
      <c r="B8" t="s">
        <v>21</v>
      </c>
      <c r="C8">
        <f>Consolidation_IFRS!I8</f>
        <v>556654</v>
      </c>
      <c r="D8">
        <f>SUMIF(Adj_US_GAAP!B:B, A8, Adj_US_GAAP!D:D) - SUMIF(Adj_US_GAAP!B:B, A8, Adj_US_GAAP!E:E)</f>
        <v>0</v>
      </c>
      <c r="E8">
        <f t="shared" si="0"/>
        <v>556654</v>
      </c>
      <c r="F8">
        <f>SUMIF(Adj_UK_GAAP!B:B, A8, Adj_UK_GAAP!D:D) - SUMIF(Adj_UK_GAAP!B:B, A8, Adj_UK_GAAP!E:E)</f>
        <v>0</v>
      </c>
      <c r="G8">
        <f t="shared" si="1"/>
        <v>556654</v>
      </c>
    </row>
    <row r="9" spans="1:7" x14ac:dyDescent="0.35">
      <c r="A9">
        <v>1315</v>
      </c>
      <c r="B9" t="s">
        <v>22</v>
      </c>
      <c r="C9">
        <f>Consolidation_IFRS!I9</f>
        <v>416963</v>
      </c>
      <c r="D9">
        <f>SUMIF(Adj_US_GAAP!B:B, A9, Adj_US_GAAP!D:D) - SUMIF(Adj_US_GAAP!B:B, A9, Adj_US_GAAP!E:E)</f>
        <v>0</v>
      </c>
      <c r="E9">
        <f t="shared" si="0"/>
        <v>416963</v>
      </c>
      <c r="F9">
        <f>SUMIF(Adj_UK_GAAP!B:B, A9, Adj_UK_GAAP!D:D) - SUMIF(Adj_UK_GAAP!B:B, A9, Adj_UK_GAAP!E:E)</f>
        <v>0</v>
      </c>
      <c r="G9">
        <f t="shared" si="1"/>
        <v>416963</v>
      </c>
    </row>
    <row r="10" spans="1:7" x14ac:dyDescent="0.35">
      <c r="A10">
        <v>1400</v>
      </c>
      <c r="B10" t="s">
        <v>23</v>
      </c>
      <c r="C10">
        <f>Consolidation_IFRS!I10</f>
        <v>629048</v>
      </c>
      <c r="D10">
        <f>SUMIF(Adj_US_GAAP!B:B, A10, Adj_US_GAAP!D:D) - SUMIF(Adj_US_GAAP!B:B, A10, Adj_US_GAAP!E:E)</f>
        <v>-25000</v>
      </c>
      <c r="E10">
        <f t="shared" si="0"/>
        <v>604048</v>
      </c>
      <c r="F10">
        <f>SUMIF(Adj_UK_GAAP!B:B, A10, Adj_UK_GAAP!D:D) - SUMIF(Adj_UK_GAAP!B:B, A10, Adj_UK_GAAP!E:E)</f>
        <v>0</v>
      </c>
      <c r="G10">
        <f t="shared" si="1"/>
        <v>629048</v>
      </c>
    </row>
    <row r="11" spans="1:7" x14ac:dyDescent="0.35">
      <c r="A11">
        <v>1405</v>
      </c>
      <c r="B11" t="s">
        <v>24</v>
      </c>
      <c r="C11">
        <f>Consolidation_IFRS!I11</f>
        <v>785037</v>
      </c>
      <c r="D11">
        <f>SUMIF(Adj_US_GAAP!B:B, A11, Adj_US_GAAP!D:D) - SUMIF(Adj_US_GAAP!B:B, A11, Adj_US_GAAP!E:E)</f>
        <v>0</v>
      </c>
      <c r="E11">
        <f t="shared" si="0"/>
        <v>785037</v>
      </c>
      <c r="F11">
        <f>SUMIF(Adj_UK_GAAP!B:B, A11, Adj_UK_GAAP!D:D) - SUMIF(Adj_UK_GAAP!B:B, A11, Adj_UK_GAAP!E:E)</f>
        <v>0</v>
      </c>
      <c r="G11">
        <f t="shared" si="1"/>
        <v>785037</v>
      </c>
    </row>
    <row r="12" spans="1:7" x14ac:dyDescent="0.35">
      <c r="A12">
        <v>1410</v>
      </c>
      <c r="B12" t="s">
        <v>25</v>
      </c>
      <c r="C12">
        <f>Consolidation_IFRS!I12</f>
        <v>1023089</v>
      </c>
      <c r="D12">
        <f>SUMIF(Adj_US_GAAP!B:B, A12, Adj_US_GAAP!D:D) - SUMIF(Adj_US_GAAP!B:B, A12, Adj_US_GAAP!E:E)</f>
        <v>0</v>
      </c>
      <c r="E12">
        <f t="shared" si="0"/>
        <v>1023089</v>
      </c>
      <c r="F12">
        <f>SUMIF(Adj_UK_GAAP!B:B, A12, Adj_UK_GAAP!D:D) - SUMIF(Adj_UK_GAAP!B:B, A12, Adj_UK_GAAP!E:E)</f>
        <v>-10000</v>
      </c>
      <c r="G12">
        <f t="shared" si="1"/>
        <v>1013089</v>
      </c>
    </row>
    <row r="13" spans="1:7" x14ac:dyDescent="0.35">
      <c r="A13">
        <v>1500</v>
      </c>
      <c r="B13" t="s">
        <v>26</v>
      </c>
      <c r="C13">
        <f>Consolidation_IFRS!I13</f>
        <v>856381</v>
      </c>
      <c r="D13">
        <f>SUMIF(Adj_US_GAAP!B:B, A13, Adj_US_GAAP!D:D) - SUMIF(Adj_US_GAAP!B:B, A13, Adj_US_GAAP!E:E)</f>
        <v>0</v>
      </c>
      <c r="E13">
        <f t="shared" si="0"/>
        <v>856381</v>
      </c>
      <c r="F13">
        <f>SUMIF(Adj_UK_GAAP!B:B, A13, Adj_UK_GAAP!D:D) - SUMIF(Adj_UK_GAAP!B:B, A13, Adj_UK_GAAP!E:E)</f>
        <v>0</v>
      </c>
      <c r="G13">
        <f t="shared" si="1"/>
        <v>856381</v>
      </c>
    </row>
    <row r="14" spans="1:7" x14ac:dyDescent="0.35">
      <c r="A14">
        <v>2000</v>
      </c>
      <c r="B14" t="s">
        <v>27</v>
      </c>
      <c r="C14">
        <f>Consolidation_IFRS!I14</f>
        <v>-622103</v>
      </c>
      <c r="D14">
        <f>SUMIF(Adj_US_GAAP!B:B, A14, Adj_US_GAAP!D:D) - SUMIF(Adj_US_GAAP!B:B, A14, Adj_US_GAAP!E:E)</f>
        <v>0</v>
      </c>
      <c r="E14">
        <f t="shared" si="0"/>
        <v>-622103</v>
      </c>
      <c r="F14">
        <f>SUMIF(Adj_UK_GAAP!B:B, A14, Adj_UK_GAAP!D:D) - SUMIF(Adj_UK_GAAP!B:B, A14, Adj_UK_GAAP!E:E)</f>
        <v>0</v>
      </c>
      <c r="G14">
        <f t="shared" si="1"/>
        <v>-622103</v>
      </c>
    </row>
    <row r="15" spans="1:7" x14ac:dyDescent="0.35">
      <c r="A15">
        <v>2010</v>
      </c>
      <c r="B15" t="s">
        <v>30</v>
      </c>
      <c r="C15">
        <f>Consolidation_IFRS!I15</f>
        <v>0</v>
      </c>
      <c r="D15">
        <f>SUMIF(Adj_US_GAAP!B:B, A15, Adj_US_GAAP!D:D) - SUMIF(Adj_US_GAAP!B:B, A15, Adj_US_GAAP!E:E)</f>
        <v>0</v>
      </c>
      <c r="E15">
        <f t="shared" si="0"/>
        <v>0</v>
      </c>
      <c r="F15">
        <f>SUMIF(Adj_UK_GAAP!B:B, A15, Adj_UK_GAAP!D:D) - SUMIF(Adj_UK_GAAP!B:B, A15, Adj_UK_GAAP!E:E)</f>
        <v>0</v>
      </c>
      <c r="G15">
        <f t="shared" si="1"/>
        <v>0</v>
      </c>
    </row>
    <row r="16" spans="1:7" x14ac:dyDescent="0.35">
      <c r="A16">
        <v>2100</v>
      </c>
      <c r="B16" t="s">
        <v>31</v>
      </c>
      <c r="C16">
        <f>Consolidation_IFRS!I16</f>
        <v>-1228986</v>
      </c>
      <c r="D16">
        <f>SUMIF(Adj_US_GAAP!B:B, A16, Adj_US_GAAP!D:D) - SUMIF(Adj_US_GAAP!B:B, A16, Adj_US_GAAP!E:E)</f>
        <v>0</v>
      </c>
      <c r="E16">
        <f t="shared" si="0"/>
        <v>-1228986</v>
      </c>
      <c r="F16">
        <f>SUMIF(Adj_UK_GAAP!B:B, A16, Adj_UK_GAAP!D:D) - SUMIF(Adj_UK_GAAP!B:B, A16, Adj_UK_GAAP!E:E)</f>
        <v>0</v>
      </c>
      <c r="G16">
        <f t="shared" si="1"/>
        <v>-1228986</v>
      </c>
    </row>
    <row r="17" spans="1:7" x14ac:dyDescent="0.35">
      <c r="A17">
        <v>2200</v>
      </c>
      <c r="B17" t="s">
        <v>32</v>
      </c>
      <c r="C17">
        <f>Consolidation_IFRS!I17</f>
        <v>-746733</v>
      </c>
      <c r="D17">
        <f>SUMIF(Adj_US_GAAP!B:B, A17, Adj_US_GAAP!D:D) - SUMIF(Adj_US_GAAP!B:B, A17, Adj_US_GAAP!E:E)</f>
        <v>0</v>
      </c>
      <c r="E17">
        <f t="shared" si="0"/>
        <v>-746733</v>
      </c>
      <c r="F17">
        <f>SUMIF(Adj_UK_GAAP!B:B, A17, Adj_UK_GAAP!D:D) - SUMIF(Adj_UK_GAAP!B:B, A17, Adj_UK_GAAP!E:E)</f>
        <v>0</v>
      </c>
      <c r="G17">
        <f t="shared" si="1"/>
        <v>-746733</v>
      </c>
    </row>
    <row r="18" spans="1:7" x14ac:dyDescent="0.35">
      <c r="A18">
        <v>2300</v>
      </c>
      <c r="B18" t="s">
        <v>33</v>
      </c>
      <c r="C18">
        <f>Consolidation_IFRS!I18</f>
        <v>-792429</v>
      </c>
      <c r="D18">
        <f>SUMIF(Adj_US_GAAP!B:B, A18, Adj_US_GAAP!D:D) - SUMIF(Adj_US_GAAP!B:B, A18, Adj_US_GAAP!E:E)</f>
        <v>0</v>
      </c>
      <c r="E18">
        <f t="shared" si="0"/>
        <v>-792429</v>
      </c>
      <c r="F18">
        <f>SUMIF(Adj_UK_GAAP!B:B, A18, Adj_UK_GAAP!D:D) - SUMIF(Adj_UK_GAAP!B:B, A18, Adj_UK_GAAP!E:E)</f>
        <v>0</v>
      </c>
      <c r="G18">
        <f t="shared" si="1"/>
        <v>-792429</v>
      </c>
    </row>
    <row r="19" spans="1:7" x14ac:dyDescent="0.35">
      <c r="A19">
        <v>2400</v>
      </c>
      <c r="B19" t="s">
        <v>34</v>
      </c>
      <c r="C19">
        <f>Consolidation_IFRS!I19</f>
        <v>-596449</v>
      </c>
      <c r="D19">
        <f>SUMIF(Adj_US_GAAP!B:B, A19, Adj_US_GAAP!D:D) - SUMIF(Adj_US_GAAP!B:B, A19, Adj_US_GAAP!E:E)</f>
        <v>0</v>
      </c>
      <c r="E19">
        <f t="shared" si="0"/>
        <v>-596449</v>
      </c>
      <c r="F19">
        <f>SUMIF(Adj_UK_GAAP!B:B, A19, Adj_UK_GAAP!D:D) - SUMIF(Adj_UK_GAAP!B:B, A19, Adj_UK_GAAP!E:E)</f>
        <v>0</v>
      </c>
      <c r="G19">
        <f t="shared" si="1"/>
        <v>-596449</v>
      </c>
    </row>
    <row r="20" spans="1:7" x14ac:dyDescent="0.35">
      <c r="A20">
        <v>2500</v>
      </c>
      <c r="B20" t="s">
        <v>36</v>
      </c>
      <c r="C20">
        <f>Consolidation_IFRS!I20</f>
        <v>-240349</v>
      </c>
      <c r="D20">
        <f>SUMIF(Adj_US_GAAP!B:B, A20, Adj_US_GAAP!D:D) - SUMIF(Adj_US_GAAP!B:B, A20, Adj_US_GAAP!E:E)</f>
        <v>0</v>
      </c>
      <c r="E20">
        <f t="shared" si="0"/>
        <v>-240349</v>
      </c>
      <c r="F20">
        <f>SUMIF(Adj_UK_GAAP!B:B, A20, Adj_UK_GAAP!D:D) - SUMIF(Adj_UK_GAAP!B:B, A20, Adj_UK_GAAP!E:E)</f>
        <v>0</v>
      </c>
      <c r="G20">
        <f t="shared" si="1"/>
        <v>-240349</v>
      </c>
    </row>
    <row r="21" spans="1:7" x14ac:dyDescent="0.35">
      <c r="A21">
        <v>2600</v>
      </c>
      <c r="B21" t="s">
        <v>37</v>
      </c>
      <c r="C21">
        <f>Consolidation_IFRS!I21</f>
        <v>-640347</v>
      </c>
      <c r="D21">
        <f>SUMIF(Adj_US_GAAP!B:B, A21, Adj_US_GAAP!D:D) - SUMIF(Adj_US_GAAP!B:B, A21, Adj_US_GAAP!E:E)</f>
        <v>0</v>
      </c>
      <c r="E21">
        <f t="shared" si="0"/>
        <v>-640347</v>
      </c>
      <c r="F21">
        <f>SUMIF(Adj_UK_GAAP!B:B, A21, Adj_UK_GAAP!D:D) - SUMIF(Adj_UK_GAAP!B:B, A21, Adj_UK_GAAP!E:E)</f>
        <v>0</v>
      </c>
      <c r="G21">
        <f t="shared" si="1"/>
        <v>-640347</v>
      </c>
    </row>
    <row r="22" spans="1:7" x14ac:dyDescent="0.35">
      <c r="A22">
        <v>3000</v>
      </c>
      <c r="B22" t="s">
        <v>38</v>
      </c>
      <c r="C22">
        <f>Consolidation_IFRS!I22</f>
        <v>-336326</v>
      </c>
      <c r="D22">
        <f>SUMIF(Adj_US_GAAP!B:B, A22, Adj_US_GAAP!D:D) - SUMIF(Adj_US_GAAP!B:B, A22, Adj_US_GAAP!E:E)</f>
        <v>0</v>
      </c>
      <c r="E22">
        <f t="shared" si="0"/>
        <v>-336326</v>
      </c>
      <c r="F22">
        <f>SUMIF(Adj_UK_GAAP!B:B, A22, Adj_UK_GAAP!D:D) - SUMIF(Adj_UK_GAAP!B:B, A22, Adj_UK_GAAP!E:E)</f>
        <v>0</v>
      </c>
      <c r="G22">
        <f t="shared" si="1"/>
        <v>-336326</v>
      </c>
    </row>
    <row r="23" spans="1:7" x14ac:dyDescent="0.35">
      <c r="A23">
        <v>3100</v>
      </c>
      <c r="B23" t="s">
        <v>40</v>
      </c>
      <c r="C23">
        <f>Consolidation_IFRS!I23</f>
        <v>-1006871</v>
      </c>
      <c r="D23">
        <f>SUMIF(Adj_US_GAAP!B:B, A23, Adj_US_GAAP!D:D) - SUMIF(Adj_US_GAAP!B:B, A23, Adj_US_GAAP!E:E)</f>
        <v>0</v>
      </c>
      <c r="E23">
        <f t="shared" si="0"/>
        <v>-1006871</v>
      </c>
      <c r="F23">
        <f>SUMIF(Adj_UK_GAAP!B:B, A23, Adj_UK_GAAP!D:D) - SUMIF(Adj_UK_GAAP!B:B, A23, Adj_UK_GAAP!E:E)</f>
        <v>0</v>
      </c>
      <c r="G23">
        <f t="shared" si="1"/>
        <v>-1006871</v>
      </c>
    </row>
    <row r="24" spans="1:7" x14ac:dyDescent="0.35">
      <c r="A24">
        <v>3200</v>
      </c>
      <c r="B24" t="s">
        <v>41</v>
      </c>
      <c r="C24">
        <f>Consolidation_IFRS!I24</f>
        <v>-8173331</v>
      </c>
      <c r="D24">
        <f>SUMIF(Adj_US_GAAP!B:B, A24, Adj_US_GAAP!D:D) - SUMIF(Adj_US_GAAP!B:B, A24, Adj_US_GAAP!E:E)</f>
        <v>0</v>
      </c>
      <c r="E24">
        <f t="shared" si="0"/>
        <v>-8173331</v>
      </c>
      <c r="F24">
        <f>SUMIF(Adj_UK_GAAP!B:B, A24, Adj_UK_GAAP!D:D) - SUMIF(Adj_UK_GAAP!B:B, A24, Adj_UK_GAAP!E:E)</f>
        <v>0</v>
      </c>
      <c r="G24">
        <f t="shared" si="1"/>
        <v>-8173331</v>
      </c>
    </row>
    <row r="25" spans="1:7" x14ac:dyDescent="0.35">
      <c r="A25">
        <v>4000</v>
      </c>
      <c r="B25" t="s">
        <v>42</v>
      </c>
      <c r="C25">
        <f>Consolidation_IFRS!I25</f>
        <v>-2477307</v>
      </c>
      <c r="D25">
        <f>SUMIF(Adj_US_GAAP!B:B, A25, Adj_US_GAAP!D:D) - SUMIF(Adj_US_GAAP!B:B, A25, Adj_US_GAAP!E:E)</f>
        <v>0</v>
      </c>
      <c r="E25">
        <f t="shared" si="0"/>
        <v>-2477307</v>
      </c>
      <c r="F25">
        <f>SUMIF(Adj_UK_GAAP!B:B, A25, Adj_UK_GAAP!D:D) - SUMIF(Adj_UK_GAAP!B:B, A25, Adj_UK_GAAP!E:E)</f>
        <v>0</v>
      </c>
      <c r="G25">
        <f t="shared" si="1"/>
        <v>-2477307</v>
      </c>
    </row>
    <row r="26" spans="1:7" x14ac:dyDescent="0.35">
      <c r="A26">
        <v>4100</v>
      </c>
      <c r="B26" t="s">
        <v>45</v>
      </c>
      <c r="C26">
        <f>Consolidation_IFRS!I26</f>
        <v>0</v>
      </c>
      <c r="D26">
        <f>SUMIF(Adj_US_GAAP!B:B, A26, Adj_US_GAAP!D:D) - SUMIF(Adj_US_GAAP!B:B, A26, Adj_US_GAAP!E:E)</f>
        <v>0</v>
      </c>
      <c r="E26">
        <f t="shared" si="0"/>
        <v>0</v>
      </c>
      <c r="F26">
        <f>SUMIF(Adj_UK_GAAP!B:B, A26, Adj_UK_GAAP!D:D) - SUMIF(Adj_UK_GAAP!B:B, A26, Adj_UK_GAAP!E:E)</f>
        <v>0</v>
      </c>
      <c r="G26">
        <f t="shared" si="1"/>
        <v>0</v>
      </c>
    </row>
    <row r="27" spans="1:7" x14ac:dyDescent="0.35">
      <c r="A27">
        <v>5000</v>
      </c>
      <c r="B27" t="s">
        <v>46</v>
      </c>
      <c r="C27">
        <f>Consolidation_IFRS!I27</f>
        <v>644877</v>
      </c>
      <c r="D27">
        <f>SUMIF(Adj_US_GAAP!B:B, A27, Adj_US_GAAP!D:D) - SUMIF(Adj_US_GAAP!B:B, A27, Adj_US_GAAP!E:E)</f>
        <v>0</v>
      </c>
      <c r="E27">
        <f t="shared" si="0"/>
        <v>644877</v>
      </c>
      <c r="F27">
        <f>SUMIF(Adj_UK_GAAP!B:B, A27, Adj_UK_GAAP!D:D) - SUMIF(Adj_UK_GAAP!B:B, A27, Adj_UK_GAAP!E:E)</f>
        <v>0</v>
      </c>
      <c r="G27">
        <f t="shared" si="1"/>
        <v>644877</v>
      </c>
    </row>
    <row r="28" spans="1:7" x14ac:dyDescent="0.35">
      <c r="A28">
        <v>5100</v>
      </c>
      <c r="B28" t="s">
        <v>49</v>
      </c>
      <c r="C28">
        <f>Consolidation_IFRS!I28</f>
        <v>0</v>
      </c>
      <c r="D28">
        <f>SUMIF(Adj_US_GAAP!B:B, A28, Adj_US_GAAP!D:D) - SUMIF(Adj_US_GAAP!B:B, A28, Adj_US_GAAP!E:E)</f>
        <v>0</v>
      </c>
      <c r="E28">
        <f t="shared" si="0"/>
        <v>0</v>
      </c>
      <c r="F28">
        <f>SUMIF(Adj_UK_GAAP!B:B, A28, Adj_UK_GAAP!D:D) - SUMIF(Adj_UK_GAAP!B:B, A28, Adj_UK_GAAP!E:E)</f>
        <v>0</v>
      </c>
      <c r="G28">
        <f t="shared" si="1"/>
        <v>0</v>
      </c>
    </row>
    <row r="29" spans="1:7" x14ac:dyDescent="0.35">
      <c r="A29">
        <v>5200</v>
      </c>
      <c r="B29" t="s">
        <v>50</v>
      </c>
      <c r="C29">
        <f>Consolidation_IFRS!I29</f>
        <v>846570</v>
      </c>
      <c r="D29">
        <f>SUMIF(Adj_US_GAAP!B:B, A29, Adj_US_GAAP!D:D) - SUMIF(Adj_US_GAAP!B:B, A29, Adj_US_GAAP!E:E)</f>
        <v>25000</v>
      </c>
      <c r="E29">
        <f t="shared" si="0"/>
        <v>871570</v>
      </c>
      <c r="F29">
        <f>SUMIF(Adj_UK_GAAP!B:B, A29, Adj_UK_GAAP!D:D) - SUMIF(Adj_UK_GAAP!B:B, A29, Adj_UK_GAAP!E:E)</f>
        <v>0</v>
      </c>
      <c r="G29">
        <f t="shared" si="1"/>
        <v>846570</v>
      </c>
    </row>
    <row r="30" spans="1:7" x14ac:dyDescent="0.35">
      <c r="A30">
        <v>5300</v>
      </c>
      <c r="B30" t="s">
        <v>20</v>
      </c>
      <c r="C30">
        <f>Consolidation_IFRS!I30</f>
        <v>673367</v>
      </c>
      <c r="D30">
        <f>SUMIF(Adj_US_GAAP!B:B, A30, Adj_US_GAAP!D:D) - SUMIF(Adj_US_GAAP!B:B, A30, Adj_US_GAAP!E:E)</f>
        <v>0</v>
      </c>
      <c r="E30">
        <f t="shared" si="0"/>
        <v>673367</v>
      </c>
      <c r="F30">
        <f>SUMIF(Adj_UK_GAAP!B:B, A30, Adj_UK_GAAP!D:D) - SUMIF(Adj_UK_GAAP!B:B, A30, Adj_UK_GAAP!E:E)</f>
        <v>10000</v>
      </c>
      <c r="G30">
        <f t="shared" si="1"/>
        <v>683367</v>
      </c>
    </row>
    <row r="31" spans="1:7" x14ac:dyDescent="0.35">
      <c r="A31">
        <v>5310</v>
      </c>
      <c r="B31" t="s">
        <v>22</v>
      </c>
      <c r="C31">
        <f>Consolidation_IFRS!I31</f>
        <v>953401</v>
      </c>
      <c r="D31">
        <f>SUMIF(Adj_US_GAAP!B:B, A31, Adj_US_GAAP!D:D) - SUMIF(Adj_US_GAAP!B:B, A31, Adj_US_GAAP!E:E)</f>
        <v>0</v>
      </c>
      <c r="E31">
        <f t="shared" si="0"/>
        <v>953401</v>
      </c>
      <c r="F31">
        <f>SUMIF(Adj_UK_GAAP!B:B, A31, Adj_UK_GAAP!D:D) - SUMIF(Adj_UK_GAAP!B:B, A31, Adj_UK_GAAP!E:E)</f>
        <v>0</v>
      </c>
      <c r="G31">
        <f t="shared" si="1"/>
        <v>953401</v>
      </c>
    </row>
    <row r="32" spans="1:7" x14ac:dyDescent="0.35">
      <c r="A32">
        <v>5400</v>
      </c>
      <c r="B32" t="s">
        <v>51</v>
      </c>
      <c r="C32">
        <f>Consolidation_IFRS!I32</f>
        <v>1080667</v>
      </c>
      <c r="D32">
        <f>SUMIF(Adj_US_GAAP!B:B, A32, Adj_US_GAAP!D:D) - SUMIF(Adj_US_GAAP!B:B, A32, Adj_US_GAAP!E:E)</f>
        <v>0</v>
      </c>
      <c r="E32">
        <f t="shared" si="0"/>
        <v>1080667</v>
      </c>
      <c r="F32">
        <f>SUMIF(Adj_UK_GAAP!B:B, A32, Adj_UK_GAAP!D:D) - SUMIF(Adj_UK_GAAP!B:B, A32, Adj_UK_GAAP!E:E)</f>
        <v>0</v>
      </c>
      <c r="G32">
        <f t="shared" si="1"/>
        <v>1080667</v>
      </c>
    </row>
    <row r="33" spans="1:7" x14ac:dyDescent="0.35">
      <c r="A33">
        <v>5500</v>
      </c>
      <c r="B33" t="s">
        <v>52</v>
      </c>
      <c r="C33">
        <f>Consolidation_IFRS!I33</f>
        <v>719506</v>
      </c>
      <c r="D33">
        <f>SUMIF(Adj_US_GAAP!B:B, A33, Adj_US_GAAP!D:D) - SUMIF(Adj_US_GAAP!B:B, A33, Adj_US_GAAP!E:E)</f>
        <v>0</v>
      </c>
      <c r="E33">
        <f t="shared" si="0"/>
        <v>719506</v>
      </c>
      <c r="F33">
        <f>SUMIF(Adj_UK_GAAP!B:B, A33, Adj_UK_GAAP!D:D) - SUMIF(Adj_UK_GAAP!B:B, A33, Adj_UK_GAAP!E:E)</f>
        <v>0</v>
      </c>
      <c r="G33">
        <f t="shared" si="1"/>
        <v>719506</v>
      </c>
    </row>
    <row r="34" spans="1:7" x14ac:dyDescent="0.35">
      <c r="A34">
        <v>5600</v>
      </c>
      <c r="B34" t="s">
        <v>53</v>
      </c>
      <c r="C34">
        <f>Consolidation_IFRS!I34</f>
        <v>815246</v>
      </c>
      <c r="D34">
        <f>SUMIF(Adj_US_GAAP!B:B, A34, Adj_US_GAAP!D:D) - SUMIF(Adj_US_GAAP!B:B, A34, Adj_US_GAAP!E:E)</f>
        <v>0</v>
      </c>
      <c r="E34">
        <f t="shared" si="0"/>
        <v>815246</v>
      </c>
      <c r="F34">
        <f>SUMIF(Adj_UK_GAAP!B:B, A34, Adj_UK_GAAP!D:D) - SUMIF(Adj_UK_GAAP!B:B, A34, Adj_UK_GAAP!E:E)</f>
        <v>0</v>
      </c>
      <c r="G34">
        <f t="shared" si="1"/>
        <v>815246</v>
      </c>
    </row>
    <row r="35" spans="1:7" x14ac:dyDescent="0.35">
      <c r="A35">
        <v>6000</v>
      </c>
      <c r="B35" t="s">
        <v>54</v>
      </c>
      <c r="C35">
        <f>Consolidation_IFRS!I35</f>
        <v>1091757</v>
      </c>
      <c r="D35">
        <f>SUMIF(Adj_US_GAAP!B:B, A35, Adj_US_GAAP!D:D) - SUMIF(Adj_US_GAAP!B:B, A35, Adj_US_GAAP!E:E)</f>
        <v>0</v>
      </c>
      <c r="E35">
        <f t="shared" si="0"/>
        <v>1091757</v>
      </c>
      <c r="F35">
        <f>SUMIF(Adj_UK_GAAP!B:B, A35, Adj_UK_GAAP!D:D) - SUMIF(Adj_UK_GAAP!B:B, A35, Adj_UK_GAAP!E:E)</f>
        <v>0</v>
      </c>
      <c r="G35">
        <f t="shared" si="1"/>
        <v>1091757</v>
      </c>
    </row>
    <row r="36" spans="1:7" x14ac:dyDescent="0.35">
      <c r="A36">
        <v>6010</v>
      </c>
      <c r="B36" t="s">
        <v>55</v>
      </c>
      <c r="C36">
        <f>Consolidation_IFRS!I36</f>
        <v>1159231</v>
      </c>
      <c r="D36">
        <f>SUMIF(Adj_US_GAAP!B:B, A36, Adj_US_GAAP!D:D) - SUMIF(Adj_US_GAAP!B:B, A36, Adj_US_GAAP!E:E)</f>
        <v>0</v>
      </c>
      <c r="E36">
        <f t="shared" si="0"/>
        <v>1159231</v>
      </c>
      <c r="F36">
        <f>SUMIF(Adj_UK_GAAP!B:B, A36, Adj_UK_GAAP!D:D) - SUMIF(Adj_UK_GAAP!B:B, A36, Adj_UK_GAAP!E:E)</f>
        <v>0</v>
      </c>
      <c r="G36">
        <f t="shared" si="1"/>
        <v>1159231</v>
      </c>
    </row>
    <row r="37" spans="1:7" x14ac:dyDescent="0.35">
      <c r="A37">
        <v>7000</v>
      </c>
      <c r="B37" t="s">
        <v>56</v>
      </c>
      <c r="C37">
        <f>Consolidation_IFRS!I37</f>
        <v>891000</v>
      </c>
      <c r="D37">
        <f>SUMIF(Adj_US_GAAP!B:B, A37, Adj_US_GAAP!D:D) - SUMIF(Adj_US_GAAP!B:B, A37, Adj_US_GAAP!E:E)</f>
        <v>0</v>
      </c>
      <c r="E37">
        <f t="shared" si="0"/>
        <v>891000</v>
      </c>
      <c r="F37">
        <f>SUMIF(Adj_UK_GAAP!B:B, A37, Adj_UK_GAAP!D:D) - SUMIF(Adj_UK_GAAP!B:B, A37, Adj_UK_GAAP!E:E)</f>
        <v>0</v>
      </c>
      <c r="G37">
        <f t="shared" si="1"/>
        <v>891000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topLeftCell="A6" workbookViewId="0">
      <selection activeCell="A16" sqref="A16:A25"/>
    </sheetView>
  </sheetViews>
  <sheetFormatPr baseColWidth="10" defaultColWidth="8.7265625" defaultRowHeight="14.5" x14ac:dyDescent="0.35"/>
  <cols>
    <col min="1" max="1" width="46.26953125" customWidth="1"/>
    <col min="2" max="2" width="14.08984375" customWidth="1"/>
  </cols>
  <sheetData>
    <row r="1" spans="1:5" x14ac:dyDescent="0.35">
      <c r="A1" s="3" t="s">
        <v>78</v>
      </c>
      <c r="C1" s="4" t="s">
        <v>2</v>
      </c>
      <c r="D1" s="4" t="s">
        <v>3</v>
      </c>
      <c r="E1" s="4" t="s">
        <v>4</v>
      </c>
    </row>
    <row r="3" spans="1:5" x14ac:dyDescent="0.35">
      <c r="A3" s="3" t="s">
        <v>79</v>
      </c>
    </row>
    <row r="4" spans="1:5" x14ac:dyDescent="0.35">
      <c r="A4" s="4" t="s">
        <v>42</v>
      </c>
      <c r="B4">
        <v>4000</v>
      </c>
      <c r="C4">
        <f>SUMIF(Reconciliation_Bridge!A:A, B4, Reconciliation_Bridge!C:C)</f>
        <v>-2477307</v>
      </c>
      <c r="D4">
        <f>SUMIF(Reconciliation_Bridge!A:A, B4, Reconciliation_Bridge!E:E)</f>
        <v>-2477307</v>
      </c>
      <c r="E4">
        <f>SUMIF(Reconciliation_Bridge!A:A, B4, Reconciliation_Bridge!G:G)</f>
        <v>-2477307</v>
      </c>
    </row>
    <row r="5" spans="1:5" x14ac:dyDescent="0.35">
      <c r="A5" s="4" t="s">
        <v>46</v>
      </c>
      <c r="B5">
        <v>5000</v>
      </c>
      <c r="C5">
        <f>SUMIF(Reconciliation_Bridge!A:A, B5, Reconciliation_Bridge!C:C)</f>
        <v>644877</v>
      </c>
      <c r="D5">
        <f>SUMIF(Reconciliation_Bridge!A:A, B5, Reconciliation_Bridge!E:E)</f>
        <v>644877</v>
      </c>
      <c r="E5">
        <f>SUMIF(Reconciliation_Bridge!A:A, B5, Reconciliation_Bridge!G:G)</f>
        <v>644877</v>
      </c>
    </row>
    <row r="6" spans="1:5" x14ac:dyDescent="0.35">
      <c r="A6" s="4" t="s">
        <v>50</v>
      </c>
      <c r="B6">
        <v>5200</v>
      </c>
      <c r="C6">
        <f>SUMIF(Reconciliation_Bridge!A:A, B6, Reconciliation_Bridge!C:C)</f>
        <v>846570</v>
      </c>
      <c r="D6">
        <f>SUMIF(Reconciliation_Bridge!A:A, B6, Reconciliation_Bridge!E:E)</f>
        <v>871570</v>
      </c>
      <c r="E6">
        <f>SUMIF(Reconciliation_Bridge!A:A, B6, Reconciliation_Bridge!G:G)</f>
        <v>846570</v>
      </c>
    </row>
    <row r="7" spans="1:5" x14ac:dyDescent="0.35">
      <c r="A7" s="4" t="s">
        <v>51</v>
      </c>
      <c r="B7">
        <v>5400</v>
      </c>
      <c r="C7">
        <f>SUMIF(Reconciliation_Bridge!A:A, B7, Reconciliation_Bridge!C:C)</f>
        <v>1080667</v>
      </c>
      <c r="D7">
        <f>SUMIF(Reconciliation_Bridge!A:A, B7, Reconciliation_Bridge!E:E)</f>
        <v>1080667</v>
      </c>
      <c r="E7">
        <f>SUMIF(Reconciliation_Bridge!A:A, B7, Reconciliation_Bridge!G:G)</f>
        <v>1080667</v>
      </c>
    </row>
    <row r="8" spans="1:5" x14ac:dyDescent="0.35">
      <c r="A8" s="4" t="s">
        <v>52</v>
      </c>
      <c r="B8">
        <v>5500</v>
      </c>
      <c r="C8">
        <f>SUMIF(Reconciliation_Bridge!A:A, B8, Reconciliation_Bridge!C:C)</f>
        <v>719506</v>
      </c>
      <c r="D8">
        <f>SUMIF(Reconciliation_Bridge!A:A, B8, Reconciliation_Bridge!E:E)</f>
        <v>719506</v>
      </c>
      <c r="E8">
        <f>SUMIF(Reconciliation_Bridge!A:A, B8, Reconciliation_Bridge!G:G)</f>
        <v>719506</v>
      </c>
    </row>
    <row r="9" spans="1:5" x14ac:dyDescent="0.35">
      <c r="A9" s="4" t="s">
        <v>53</v>
      </c>
      <c r="B9">
        <v>5600</v>
      </c>
      <c r="C9">
        <f>SUMIF(Reconciliation_Bridge!A:A, B9, Reconciliation_Bridge!C:C)</f>
        <v>815246</v>
      </c>
      <c r="D9">
        <f>SUMIF(Reconciliation_Bridge!A:A, B9, Reconciliation_Bridge!E:E)</f>
        <v>815246</v>
      </c>
      <c r="E9">
        <f>SUMIF(Reconciliation_Bridge!A:A, B9, Reconciliation_Bridge!G:G)</f>
        <v>815246</v>
      </c>
    </row>
    <row r="10" spans="1:5" x14ac:dyDescent="0.35">
      <c r="A10" s="4" t="s">
        <v>80</v>
      </c>
      <c r="B10">
        <v>5300</v>
      </c>
      <c r="C10">
        <f>SUMIF(Reconciliation_Bridge!A:A, B10, Reconciliation_Bridge!C:C)</f>
        <v>673367</v>
      </c>
      <c r="D10">
        <f>SUMIF(Reconciliation_Bridge!A:A, B10, Reconciliation_Bridge!E:E)</f>
        <v>673367</v>
      </c>
      <c r="E10">
        <f>SUMIF(Reconciliation_Bridge!A:A, B10, Reconciliation_Bridge!G:G)</f>
        <v>683367</v>
      </c>
    </row>
    <row r="11" spans="1:5" x14ac:dyDescent="0.35">
      <c r="A11" s="4" t="s">
        <v>54</v>
      </c>
      <c r="B11">
        <v>6000</v>
      </c>
      <c r="C11">
        <f>SUMIF(Reconciliation_Bridge!A:A, B11, Reconciliation_Bridge!C:C)</f>
        <v>1091757</v>
      </c>
      <c r="D11">
        <f>SUMIF(Reconciliation_Bridge!A:A, B11, Reconciliation_Bridge!E:E)</f>
        <v>1091757</v>
      </c>
      <c r="E11">
        <f>SUMIF(Reconciliation_Bridge!A:A, B11, Reconciliation_Bridge!G:G)</f>
        <v>1091757</v>
      </c>
    </row>
    <row r="12" spans="1:5" x14ac:dyDescent="0.35">
      <c r="A12" s="4" t="s">
        <v>56</v>
      </c>
      <c r="B12">
        <v>7000</v>
      </c>
      <c r="C12">
        <f>SUMIF(Reconciliation_Bridge!A:A, B12, Reconciliation_Bridge!C:C)</f>
        <v>891000</v>
      </c>
      <c r="D12">
        <f>SUMIF(Reconciliation_Bridge!A:A, B12, Reconciliation_Bridge!E:E)</f>
        <v>891000</v>
      </c>
      <c r="E12">
        <f>SUMIF(Reconciliation_Bridge!A:A, B12, Reconciliation_Bridge!G:G)</f>
        <v>891000</v>
      </c>
    </row>
    <row r="13" spans="1:5" x14ac:dyDescent="0.35">
      <c r="A13" s="4" t="s">
        <v>81</v>
      </c>
      <c r="C13">
        <f>SUM(C4:C12)</f>
        <v>4285683</v>
      </c>
      <c r="D13">
        <f>SUM(D4:D12)</f>
        <v>4310683</v>
      </c>
      <c r="E13">
        <f>SUM(E4:E12)</f>
        <v>4295683</v>
      </c>
    </row>
    <row r="15" spans="1:5" x14ac:dyDescent="0.35">
      <c r="A15" s="3" t="s">
        <v>82</v>
      </c>
    </row>
    <row r="16" spans="1:5" x14ac:dyDescent="0.35">
      <c r="A16" s="4" t="s">
        <v>12</v>
      </c>
      <c r="B16">
        <v>1000</v>
      </c>
      <c r="C16">
        <f>SUMIF(Reconciliation_Bridge!A:A, B16, Reconciliation_Bridge!C:C)</f>
        <v>825135</v>
      </c>
      <c r="D16">
        <f>SUMIF(Reconciliation_Bridge!A:A, B16, Reconciliation_Bridge!E:E)</f>
        <v>825135</v>
      </c>
      <c r="E16">
        <f>SUMIF(Reconciliation_Bridge!A:A, B16, Reconciliation_Bridge!G:G)</f>
        <v>825135</v>
      </c>
    </row>
    <row r="17" spans="1:5" x14ac:dyDescent="0.35">
      <c r="A17" s="4" t="s">
        <v>15</v>
      </c>
      <c r="B17">
        <v>1100</v>
      </c>
      <c r="C17">
        <f>SUMIF(Reconciliation_Bridge!A:A, B17, Reconciliation_Bridge!C:C)</f>
        <v>520885</v>
      </c>
      <c r="D17">
        <f>SUMIF(Reconciliation_Bridge!A:A, B17, Reconciliation_Bridge!E:E)</f>
        <v>520885</v>
      </c>
      <c r="E17">
        <f>SUMIF(Reconciliation_Bridge!A:A, B17, Reconciliation_Bridge!G:G)</f>
        <v>520885</v>
      </c>
    </row>
    <row r="18" spans="1:5" x14ac:dyDescent="0.35">
      <c r="A18" s="4" t="s">
        <v>17</v>
      </c>
      <c r="B18">
        <v>1200</v>
      </c>
      <c r="C18">
        <f>SUMIF(Reconciliation_Bridge!A:A, B18, Reconciliation_Bridge!C:C)</f>
        <v>637401</v>
      </c>
      <c r="D18">
        <f>SUMIF(Reconciliation_Bridge!A:A, B18, Reconciliation_Bridge!E:E)</f>
        <v>637401</v>
      </c>
      <c r="E18">
        <f>SUMIF(Reconciliation_Bridge!A:A, B18, Reconciliation_Bridge!G:G)</f>
        <v>637401</v>
      </c>
    </row>
    <row r="19" spans="1:5" x14ac:dyDescent="0.35">
      <c r="A19" s="4" t="s">
        <v>83</v>
      </c>
      <c r="B19">
        <v>1300</v>
      </c>
      <c r="C19">
        <f>SUMIF(Reconciliation_Bridge!A:A, B19, Reconciliation_Bridge!C:C)</f>
        <v>799136</v>
      </c>
      <c r="D19">
        <f>SUMIF(Reconciliation_Bridge!A:A, B19, Reconciliation_Bridge!E:E)</f>
        <v>799136</v>
      </c>
      <c r="E19">
        <f>SUMIF(Reconciliation_Bridge!A:A, B19, Reconciliation_Bridge!G:G)</f>
        <v>799136</v>
      </c>
    </row>
    <row r="20" spans="1:5" x14ac:dyDescent="0.35">
      <c r="A20" s="4" t="s">
        <v>23</v>
      </c>
      <c r="B20">
        <v>1400</v>
      </c>
      <c r="C20">
        <f>SUMIF(Reconciliation_Bridge!A:A, B20, Reconciliation_Bridge!C:C)</f>
        <v>629048</v>
      </c>
      <c r="D20">
        <f>SUMIF(Reconciliation_Bridge!A:A, B20, Reconciliation_Bridge!E:E)</f>
        <v>604048</v>
      </c>
      <c r="E20">
        <f>SUMIF(Reconciliation_Bridge!A:A, B20, Reconciliation_Bridge!G:G)</f>
        <v>629048</v>
      </c>
    </row>
    <row r="21" spans="1:5" x14ac:dyDescent="0.35">
      <c r="A21" s="4" t="s">
        <v>25</v>
      </c>
      <c r="B21">
        <v>1410</v>
      </c>
      <c r="C21">
        <f>SUMIF(Reconciliation_Bridge!A:A, B21, Reconciliation_Bridge!C:C)</f>
        <v>1023089</v>
      </c>
      <c r="D21">
        <f>SUMIF(Reconciliation_Bridge!A:A, B21, Reconciliation_Bridge!E:E)</f>
        <v>1023089</v>
      </c>
      <c r="E21">
        <f>SUMIF(Reconciliation_Bridge!A:A, B21, Reconciliation_Bridge!G:G)</f>
        <v>1013089</v>
      </c>
    </row>
    <row r="22" spans="1:5" x14ac:dyDescent="0.35">
      <c r="A22" s="4" t="s">
        <v>27</v>
      </c>
      <c r="B22">
        <v>2000</v>
      </c>
      <c r="C22">
        <f>SUMIF(Reconciliation_Bridge!A:A, B22, Reconciliation_Bridge!C:C)</f>
        <v>-622103</v>
      </c>
      <c r="D22">
        <f>SUMIF(Reconciliation_Bridge!A:A, B22, Reconciliation_Bridge!E:E)</f>
        <v>-622103</v>
      </c>
      <c r="E22">
        <f>SUMIF(Reconciliation_Bridge!A:A, B22, Reconciliation_Bridge!G:G)</f>
        <v>-622103</v>
      </c>
    </row>
    <row r="23" spans="1:5" x14ac:dyDescent="0.35">
      <c r="A23" s="4" t="s">
        <v>84</v>
      </c>
      <c r="B23">
        <v>2100</v>
      </c>
      <c r="C23">
        <f>SUMIF(Reconciliation_Bridge!A:A, B23, Reconciliation_Bridge!C:C)</f>
        <v>-1228986</v>
      </c>
      <c r="D23">
        <f>SUMIF(Reconciliation_Bridge!A:A, B23, Reconciliation_Bridge!E:E)</f>
        <v>-1228986</v>
      </c>
      <c r="E23">
        <f>SUMIF(Reconciliation_Bridge!A:A, B23, Reconciliation_Bridge!G:G)</f>
        <v>-1228986</v>
      </c>
    </row>
    <row r="24" spans="1:5" x14ac:dyDescent="0.35">
      <c r="A24" s="4" t="s">
        <v>38</v>
      </c>
      <c r="B24">
        <v>3000</v>
      </c>
      <c r="C24">
        <f>SUMIF(Reconciliation_Bridge!A:A, B24, Reconciliation_Bridge!C:C)</f>
        <v>-336326</v>
      </c>
      <c r="D24">
        <f>SUMIF(Reconciliation_Bridge!A:A, B24, Reconciliation_Bridge!E:E)</f>
        <v>-336326</v>
      </c>
      <c r="E24">
        <f>SUMIF(Reconciliation_Bridge!A:A, B24, Reconciliation_Bridge!G:G)</f>
        <v>-336326</v>
      </c>
    </row>
    <row r="25" spans="1:5" x14ac:dyDescent="0.35">
      <c r="A25" s="4" t="s">
        <v>40</v>
      </c>
      <c r="B25">
        <v>3100</v>
      </c>
      <c r="C25">
        <f>SUMIF(Reconciliation_Bridge!A:A, B25, Reconciliation_Bridge!C:C)</f>
        <v>-1006871</v>
      </c>
      <c r="D25">
        <f>SUMIF(Reconciliation_Bridge!A:A, B25, Reconciliation_Bridge!E:E)</f>
        <v>-1006871</v>
      </c>
      <c r="E25">
        <f>SUMIF(Reconciliation_Bridge!A:A, B25, Reconciliation_Bridge!G:G)</f>
        <v>-1006871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4"/>
  <sheetViews>
    <sheetView workbookViewId="0">
      <selection activeCell="A20" sqref="A20"/>
    </sheetView>
  </sheetViews>
  <sheetFormatPr baseColWidth="10" defaultColWidth="8.7265625" defaultRowHeight="14.5" x14ac:dyDescent="0.35"/>
  <cols>
    <col min="1" max="1" width="79.36328125" customWidth="1"/>
  </cols>
  <sheetData>
    <row r="1" spans="1:1" x14ac:dyDescent="0.35">
      <c r="A1" t="s">
        <v>85</v>
      </c>
    </row>
    <row r="3" spans="1:1" x14ac:dyDescent="0.35">
      <c r="A3" t="s">
        <v>86</v>
      </c>
    </row>
    <row r="4" spans="1:1" x14ac:dyDescent="0.35">
      <c r="A4" t="s">
        <v>87</v>
      </c>
    </row>
    <row r="5" spans="1:1" x14ac:dyDescent="0.35">
      <c r="A5" t="s">
        <v>88</v>
      </c>
    </row>
    <row r="7" spans="1:1" x14ac:dyDescent="0.35">
      <c r="A7" t="s">
        <v>89</v>
      </c>
    </row>
    <row r="8" spans="1:1" x14ac:dyDescent="0.35">
      <c r="A8" t="s">
        <v>90</v>
      </c>
    </row>
    <row r="9" spans="1:1" x14ac:dyDescent="0.35">
      <c r="A9" t="s">
        <v>91</v>
      </c>
    </row>
    <row r="11" spans="1:1" x14ac:dyDescent="0.35">
      <c r="A11" t="s">
        <v>92</v>
      </c>
    </row>
    <row r="12" spans="1:1" x14ac:dyDescent="0.35">
      <c r="A12" t="s">
        <v>93</v>
      </c>
    </row>
    <row r="13" spans="1:1" x14ac:dyDescent="0.35">
      <c r="A13" t="s">
        <v>94</v>
      </c>
    </row>
    <row r="14" spans="1:1" x14ac:dyDescent="0.35">
      <c r="A14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Dashboard</vt:lpstr>
      <vt:lpstr>TB_Mere_IFRS</vt:lpstr>
      <vt:lpstr>TB_FilialeA_IFRS</vt:lpstr>
      <vt:lpstr>TB_FilialeB_IFRS</vt:lpstr>
      <vt:lpstr>Consolidation_IFRS</vt:lpstr>
      <vt:lpstr>Adj_US_GAAP</vt:lpstr>
      <vt:lpstr>Adj_UK_GAAP</vt:lpstr>
      <vt:lpstr>Reconciliation_Bridge</vt:lpstr>
      <vt:lpstr>Financial_Statements</vt:lpstr>
      <vt:lpstr>Documentation_Technique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Hasnaa SAMMOUD</cp:lastModifiedBy>
  <dcterms:created xsi:type="dcterms:W3CDTF">2026-03-06T01:46:02Z</dcterms:created>
  <dcterms:modified xsi:type="dcterms:W3CDTF">2026-03-06T01:59:52Z</dcterms:modified>
</cp:coreProperties>
</file>