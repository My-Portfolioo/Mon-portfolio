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C3C57BB3-74EC-4053-9099-FF820AB705F1}" xr6:coauthVersionLast="47" xr6:coauthVersionMax="47" xr10:uidLastSave="{00000000-0000-0000-0000-000000000000}"/>
  <bookViews>
    <workbookView xWindow="-110" yWindow="-110" windowWidth="19420" windowHeight="10300" activeTab="1" xr2:uid="{F2DAC982-962D-4C7E-ACB0-1CA1E842EC06}"/>
  </bookViews>
  <sheets>
    <sheet name="Project Summary" sheetId="2" r:id="rId1"/>
    <sheet name="L'OREAL DCF"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E11" i="1" l="1"/>
  <c r="F11" i="1"/>
  <c r="G11" i="1"/>
  <c r="H11" i="1"/>
  <c r="I11" i="1"/>
  <c r="J11" i="1"/>
  <c r="E10" i="1"/>
  <c r="I6" i="1"/>
  <c r="F25" i="1" l="1"/>
  <c r="I8" i="1"/>
  <c r="J8" i="1" s="1"/>
  <c r="G9" i="1"/>
  <c r="F9" i="1"/>
  <c r="E9" i="1"/>
  <c r="D9" i="1"/>
  <c r="C9" i="1"/>
  <c r="G7" i="1"/>
  <c r="F7" i="1"/>
  <c r="E7" i="1"/>
  <c r="D7" i="1"/>
  <c r="C7" i="1"/>
  <c r="R9" i="1"/>
  <c r="R14" i="1" s="1"/>
  <c r="R10" i="1"/>
  <c r="D10" i="1"/>
  <c r="E18" i="1"/>
  <c r="F10" i="1"/>
  <c r="F18" i="1" s="1"/>
  <c r="G10" i="1"/>
  <c r="C10" i="1"/>
  <c r="I17" i="1" l="1"/>
  <c r="H17" i="1"/>
  <c r="D18" i="1"/>
  <c r="G18" i="1"/>
  <c r="C18" i="1"/>
  <c r="C11" i="1"/>
  <c r="J6" i="1"/>
  <c r="J10" i="1" s="1"/>
  <c r="I10" i="1"/>
  <c r="H10" i="1"/>
  <c r="H18" i="1" l="1"/>
  <c r="I18" i="1"/>
  <c r="J13" i="1"/>
  <c r="J17" i="1"/>
  <c r="J19" i="1" l="1"/>
  <c r="J18" i="1"/>
  <c r="D37" i="1" s="1"/>
  <c r="D38" i="1"/>
  <c r="J20" i="1" l="1"/>
  <c r="F24" i="1" s="1"/>
  <c r="F27" i="1" s="1"/>
  <c r="O20" i="1" l="1"/>
  <c r="F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tc={9CC8E58E-3A71-40BD-BD98-C34E3F940D81}</author>
  </authors>
  <commentList>
    <comment ref="R16" authorId="0" shapeId="0" xr:uid="{9CC8E58E-3A71-40BD-BD98-C34E3F940D81}">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Basé sur la croissance potentielle de l'économie française (PIB nominal)
L'inflation étant à 0,9% , une croissance nominale de 1,5-2% est réaliste
</t>
      </text>
    </comment>
  </commentList>
</comments>
</file>

<file path=xl/sharedStrings.xml><?xml version="1.0" encoding="utf-8"?>
<sst xmlns="http://schemas.openxmlformats.org/spreadsheetml/2006/main" count="39" uniqueCount="33">
  <si>
    <t>Model for Tesla</t>
  </si>
  <si>
    <t>FCF</t>
  </si>
  <si>
    <t xml:space="preserve">Cashflow from operations </t>
  </si>
  <si>
    <t>Capex</t>
  </si>
  <si>
    <t>Risk free rate according to treasury bonds</t>
  </si>
  <si>
    <t xml:space="preserve">Cost of debt </t>
  </si>
  <si>
    <t>Beta</t>
  </si>
  <si>
    <t xml:space="preserve">Debt </t>
  </si>
  <si>
    <t>Market Risk Premium</t>
  </si>
  <si>
    <t xml:space="preserve">Cost of equity </t>
  </si>
  <si>
    <t>In Millions</t>
  </si>
  <si>
    <t>Equity</t>
  </si>
  <si>
    <t>% growth</t>
  </si>
  <si>
    <t>Growth</t>
  </si>
  <si>
    <t>WACC</t>
  </si>
  <si>
    <t>Tax Rate</t>
  </si>
  <si>
    <t xml:space="preserve">Total Value </t>
  </si>
  <si>
    <t xml:space="preserve">Growth for terminal value </t>
  </si>
  <si>
    <t xml:space="preserve">Terminal Value </t>
  </si>
  <si>
    <t>Discounting</t>
  </si>
  <si>
    <t>Discounting Factor</t>
  </si>
  <si>
    <t xml:space="preserve">PV of cashflows </t>
  </si>
  <si>
    <t>PV of TV</t>
  </si>
  <si>
    <t xml:space="preserve">Total Cash flow </t>
  </si>
  <si>
    <t xml:space="preserve">Cash and cash equi </t>
  </si>
  <si>
    <t xml:space="preserve">Equity Value </t>
  </si>
  <si>
    <t>Avg shares O/S</t>
  </si>
  <si>
    <t>Share Price</t>
  </si>
  <si>
    <t xml:space="preserve">Enterprise Value  </t>
  </si>
  <si>
    <t xml:space="preserve">Valuation Bridge </t>
  </si>
  <si>
    <t xml:space="preserve">Operating Cashflow Trend </t>
  </si>
  <si>
    <t>Sensitivity Analysis</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</si>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</sst>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A&quot;"/>
    <numFmt numFmtId="165" formatCode="&quot;$&quot;#,##0.00"/>
    <numFmt numFmtId="166" formatCode="0&quot;E&quot;"/>
    <numFmt numFmtId="167" formatCode="0.000%"/>
    <numFmt numFmtId="168" formatCode="0.000"/>
  </numFmts>
  <fonts count="12" x14ac:knownFonts="1">
    <font>
      <sz val="11"/>
      <color theme="1"/>
      <name val="Calibri"/>
      <family val="2"/>
    </font>
    <font>
      <b/>
      <sz val="16"/>
      <color theme="1"/>
      <name val="Calibri"/>
      <family val="2"/>
    </font>
    <font>
      <sz val="14"/>
      <color theme="1"/>
      <name val="Calibri"/>
      <family val="2"/>
    </font>
    <font>
      <b/>
      <sz val="14"/>
      <color theme="1"/>
      <name val="Calibri"/>
      <family val="2"/>
    </font>
    <font>
      <sz val="14"/>
      <color rgb="FF0070C0"/>
      <name val="Calibri"/>
      <family val="2"/>
    </font>
    <font>
      <b/>
      <sz val="14"/>
      <color theme="0"/>
      <name val="Calibri"/>
      <family val="2"/>
    </font>
    <font>
      <b/>
      <sz val="28"/>
      <color theme="0"/>
      <name val="Calibri"/>
      <family val="2"/>
    </font>
    <font>
      <sz val="14"/>
      <color theme="0"/>
      <name val="Calibri"/>
      <family val="2"/>
    </font>
    <font>
      <b/>
      <sz val="18"/>
      <color theme="0"/>
      <name val="Calibri"/>
      <family val="2"/>
    </font>
    <font>
      <sz val="9"/>
      <color indexed="81"/>
      <name val="Tahoma"/>
      <charset val="1"/>
    </font>
    <font>
      <sz val="14"/>
      <color theme="8" tint="-0.249977111117893"/>
      <name val="Calibri"/>
      <family val="2"/>
    </font>
    <font>
      <b/>
      <sz val="16"/>
      <color theme="0"/>
      <name val="Calibri"/>
      <family val="2"/>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6">
    <border>
      <left/>
      <right/>
      <top/>
      <bottom/>
      <diagonal/>
    </border>
    <border>
      <left/>
      <right/>
      <top style="medium">
        <color auto="1"/>
      </top>
      <bottom/>
      <diagonal/>
    </border>
    <border>
      <left/>
      <right/>
      <top style="medium">
        <color auto="1"/>
      </top>
      <bottom style="double">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4">
    <xf numFmtId="0" fontId="0" fillId="0" borderId="0" xfId="0"/>
    <xf numFmtId="0" fontId="2" fillId="0" borderId="0" xfId="0" applyFont="1"/>
    <xf numFmtId="10" fontId="4" fillId="0" borderId="0" xfId="0" applyNumberFormat="1" applyFont="1"/>
    <xf numFmtId="0" fontId="3" fillId="0" borderId="0" xfId="0" applyFont="1"/>
    <xf numFmtId="0" fontId="2" fillId="0" borderId="0" xfId="0" applyFont="1" applyAlignment="1">
      <alignment horizontal="right"/>
    </xf>
    <xf numFmtId="165" fontId="2" fillId="0" borderId="0" xfId="0" applyNumberFormat="1" applyFont="1"/>
    <xf numFmtId="10" fontId="2" fillId="0" borderId="0" xfId="0" applyNumberFormat="1" applyFont="1"/>
    <xf numFmtId="167" fontId="2" fillId="0" borderId="0" xfId="0" applyNumberFormat="1" applyFont="1"/>
    <xf numFmtId="165" fontId="3" fillId="0" borderId="0" xfId="0" applyNumberFormat="1" applyFont="1"/>
    <xf numFmtId="168" fontId="2" fillId="0" borderId="0" xfId="0" applyNumberFormat="1" applyFont="1"/>
    <xf numFmtId="0" fontId="3" fillId="0" borderId="1" xfId="0" applyFont="1" applyBorder="1"/>
    <xf numFmtId="0" fontId="2" fillId="0" borderId="1" xfId="0" applyFont="1" applyBorder="1"/>
    <xf numFmtId="10" fontId="3" fillId="0" borderId="0" xfId="0" applyNumberFormat="1" applyFont="1"/>
    <xf numFmtId="9" fontId="3" fillId="0" borderId="0" xfId="0" applyNumberFormat="1" applyFont="1"/>
    <xf numFmtId="0" fontId="3" fillId="0" borderId="2" xfId="0" applyFont="1" applyBorder="1"/>
    <xf numFmtId="0" fontId="2" fillId="0" borderId="2" xfId="0" applyFont="1" applyBorder="1"/>
    <xf numFmtId="165" fontId="2" fillId="0" borderId="2" xfId="0" applyNumberFormat="1" applyFont="1" applyBorder="1"/>
    <xf numFmtId="9" fontId="2" fillId="0" borderId="0" xfId="0" applyNumberFormat="1" applyFont="1"/>
    <xf numFmtId="0" fontId="5" fillId="2" borderId="0" xfId="0" applyFont="1" applyFill="1" applyAlignment="1">
      <alignment vertical="center"/>
    </xf>
    <xf numFmtId="0" fontId="3" fillId="0" borderId="0" xfId="0" applyFont="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2" borderId="0" xfId="0" applyFont="1" applyFill="1" applyAlignment="1">
      <alignment horizontal="center"/>
    </xf>
    <xf numFmtId="0" fontId="6" fillId="3" borderId="0" xfId="0" applyFont="1" applyFill="1" applyAlignment="1">
      <alignment horizontal="center" vertical="center"/>
    </xf>
    <xf numFmtId="0" fontId="5" fillId="3" borderId="0" xfId="0" applyFont="1" applyFill="1" applyAlignment="1">
      <alignment horizontal="center"/>
    </xf>
    <xf numFmtId="164" fontId="5" fillId="3" borderId="0" xfId="0" applyNumberFormat="1" applyFont="1" applyFill="1" applyAlignment="1">
      <alignment horizontal="center"/>
    </xf>
    <xf numFmtId="166" fontId="5" fillId="3" borderId="0" xfId="0" applyNumberFormat="1" applyFont="1" applyFill="1" applyAlignment="1">
      <alignment horizontal="center"/>
    </xf>
    <xf numFmtId="165" fontId="7" fillId="3" borderId="0" xfId="0" applyNumberFormat="1" applyFont="1" applyFill="1"/>
    <xf numFmtId="165" fontId="5" fillId="3" borderId="0" xfId="0" applyNumberFormat="1" applyFont="1" applyFill="1"/>
    <xf numFmtId="0" fontId="5" fillId="3" borderId="0" xfId="0" applyFont="1" applyFill="1"/>
    <xf numFmtId="0" fontId="7" fillId="3" borderId="0" xfId="0" applyFont="1" applyFill="1"/>
    <xf numFmtId="165" fontId="7" fillId="3" borderId="1" xfId="0" applyNumberFormat="1" applyFont="1" applyFill="1" applyBorder="1"/>
    <xf numFmtId="0" fontId="8" fillId="3" borderId="0" xfId="0" applyFont="1" applyFill="1" applyAlignment="1">
      <alignment horizontal="center"/>
    </xf>
    <xf numFmtId="9" fontId="5" fillId="3" borderId="0" xfId="0" applyNumberFormat="1" applyFont="1" applyFill="1" applyAlignment="1">
      <alignment horizontal="center"/>
    </xf>
    <xf numFmtId="0" fontId="5" fillId="3" borderId="0" xfId="0" applyFont="1" applyFill="1" applyAlignment="1">
      <alignment horizontal="center" vertical="center"/>
    </xf>
    <xf numFmtId="165" fontId="5" fillId="3" borderId="5" xfId="0" applyNumberFormat="1" applyFont="1" applyFill="1" applyBorder="1"/>
    <xf numFmtId="165" fontId="10" fillId="0" borderId="0" xfId="0" applyNumberFormat="1" applyFont="1"/>
    <xf numFmtId="10" fontId="10" fillId="0" borderId="0" xfId="0" applyNumberFormat="1" applyFont="1"/>
    <xf numFmtId="0" fontId="10" fillId="0" borderId="0" xfId="0" applyFont="1"/>
    <xf numFmtId="167" fontId="10" fillId="0" borderId="0" xfId="0" applyNumberFormat="1" applyFont="1"/>
    <xf numFmtId="2" fontId="2" fillId="0" borderId="0" xfId="0" applyNumberFormat="1" applyFont="1"/>
    <xf numFmtId="0" fontId="1" fillId="2" borderId="0" xfId="0" applyFont="1" applyFill="1" applyAlignment="1">
      <alignment horizontal="center"/>
    </xf>
    <xf numFmtId="0" fontId="1" fillId="2" borderId="0" xfId="0" applyFont="1" applyFill="1"/>
    <xf numFmtId="0" fontId="11" fillId="3" borderId="0" xfId="0" applyFont="1" applyFill="1" applyAlignment="1">
      <alignment horizontal="center"/>
    </xf>
  </cellXfs>
  <cellStyles count="1">
    <cellStyle name="Normal" xfId="0" builtinId="0"/>
  </cellStyles>
  <dxfs count="7">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0"/>
      </font>
      <fill>
        <patternFill>
          <bgColor rgb="FF002060"/>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Valuation Bridge </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'L''OREAL DCF'!$B$37:$B$38</c:f>
              <c:strCache>
                <c:ptCount val="2"/>
                <c:pt idx="0">
                  <c:v>PV of cashflows </c:v>
                </c:pt>
                <c:pt idx="1">
                  <c:v>PV of TV</c:v>
                </c:pt>
              </c:strCache>
            </c:strRef>
          </c:cat>
          <c:val>
            <c:numRef>
              <c:f>('L''OREAL DCF'!$D$37,'L''OREAL DCF'!$D$38)</c:f>
              <c:numCache>
                <c:formatCode>"$"#\ ##0.00</c:formatCode>
                <c:ptCount val="2"/>
                <c:pt idx="0">
                  <c:v>26365.292915246093</c:v>
                </c:pt>
                <c:pt idx="1">
                  <c:v>68873.174886019246</c:v>
                </c:pt>
              </c:numCache>
            </c:numRef>
          </c:val>
          <c:extLst>
            <c:ext xmlns:c16="http://schemas.microsoft.com/office/drawing/2014/chart" uri="{C3380CC4-5D6E-409C-BE32-E72D297353CC}">
              <c16:uniqueId val="{00000001-18C0-480B-8338-BF12434278F0}"/>
            </c:ext>
          </c:extLst>
        </c:ser>
        <c:dLbls>
          <c:dLblPos val="inEnd"/>
          <c:showLegendKey val="0"/>
          <c:showVal val="1"/>
          <c:showCatName val="0"/>
          <c:showSerName val="0"/>
          <c:showPercent val="0"/>
          <c:showBubbleSize val="0"/>
        </c:dLbls>
        <c:gapWidth val="100"/>
        <c:overlap val="-24"/>
        <c:axId val="517511695"/>
        <c:axId val="517515055"/>
        <c:extLst>
          <c:ext xmlns:c15="http://schemas.microsoft.com/office/drawing/2012/chart" uri="{02D57815-91ED-43cb-92C2-25804820EDAC}">
            <c15:filteredBarSeries>
              <c15: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'L''OREAL DCF'!$B$37:$B$38</c15:sqref>
                        </c15:formulaRef>
                      </c:ext>
                    </c:extLst>
                    <c:strCache>
                      <c:ptCount val="2"/>
                      <c:pt idx="0">
                        <c:v>PV of cashflows </c:v>
                      </c:pt>
                      <c:pt idx="1">
                        <c:v>PV of TV</c:v>
                      </c:pt>
                    </c:strCache>
                  </c:strRef>
                </c:cat>
                <c:val>
                  <c:numRef>
                    <c:extLst>
                      <c:ext uri="{02D57815-91ED-43cb-92C2-25804820EDAC}">
                        <c15:formulaRef>
                          <c15:sqref>('L''OREAL DCF'!$C$37,'L''OREAL DCF'!$C$38)</c15:sqref>
                        </c15:formulaRef>
                      </c:ext>
                    </c:extLst>
                    <c:numCache>
                      <c:formatCode>General</c:formatCode>
                      <c:ptCount val="2"/>
                    </c:numCache>
                  </c:numRef>
                </c:val>
                <c:extLst>
                  <c:ext xmlns:c16="http://schemas.microsoft.com/office/drawing/2014/chart" uri="{C3380CC4-5D6E-409C-BE32-E72D297353CC}">
                    <c16:uniqueId val="{00000000-18C0-480B-8338-BF12434278F0}"/>
                  </c:ext>
                </c:extLst>
              </c15:ser>
            </c15:filteredBarSeries>
          </c:ext>
        </c:extLst>
      </c:barChart>
      <c:catAx>
        <c:axId val="517511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515055"/>
        <c:crosses val="autoZero"/>
        <c:auto val="1"/>
        <c:lblAlgn val="ctr"/>
        <c:lblOffset val="100"/>
        <c:noMultiLvlLbl val="0"/>
      </c:catAx>
      <c:valAx>
        <c:axId val="51751505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175116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Operating Cash Flow Forecast (2018A–2025E)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numRef>
              <c:f>'L''OREAL DCF'!$C$5:$J$5</c:f>
              <c:numCache>
                <c:formatCode>0"A"</c:formatCode>
                <c:ptCount val="8"/>
                <c:pt idx="0">
                  <c:v>2018</c:v>
                </c:pt>
                <c:pt idx="1">
                  <c:v>2019</c:v>
                </c:pt>
                <c:pt idx="2">
                  <c:v>2020</c:v>
                </c:pt>
                <c:pt idx="3">
                  <c:v>2021</c:v>
                </c:pt>
                <c:pt idx="4">
                  <c:v>2022</c:v>
                </c:pt>
                <c:pt idx="5" formatCode="0&quot;E&quot;">
                  <c:v>2023</c:v>
                </c:pt>
                <c:pt idx="6" formatCode="0&quot;E&quot;">
                  <c:v>2024</c:v>
                </c:pt>
                <c:pt idx="7" formatCode="0&quot;E&quot;">
                  <c:v>2025</c:v>
                </c:pt>
              </c:numCache>
            </c:numRef>
          </c:cat>
          <c:val>
            <c:numRef>
              <c:f>'L''OREAL DCF'!$C$6:$J$6</c:f>
              <c:numCache>
                <c:formatCode>"$"#\ ##0.00</c:formatCode>
                <c:ptCount val="8"/>
                <c:pt idx="0">
                  <c:v>3500</c:v>
                </c:pt>
                <c:pt idx="1">
                  <c:v>3800</c:v>
                </c:pt>
                <c:pt idx="2">
                  <c:v>4000</c:v>
                </c:pt>
                <c:pt idx="3">
                  <c:v>4500</c:v>
                </c:pt>
                <c:pt idx="4">
                  <c:v>5000</c:v>
                </c:pt>
                <c:pt idx="5">
                  <c:v>5500</c:v>
                </c:pt>
                <c:pt idx="6">
                  <c:v>5720</c:v>
                </c:pt>
                <c:pt idx="7">
                  <c:v>5891.6</c:v>
                </c:pt>
              </c:numCache>
            </c:numRef>
          </c:val>
          <c:smooth val="0"/>
          <c:extLst>
            <c:ext xmlns:c16="http://schemas.microsoft.com/office/drawing/2014/chart" uri="{C3380CC4-5D6E-409C-BE32-E72D297353CC}">
              <c16:uniqueId val="{00000000-65DF-44E1-9FF8-76914FFEA6CF}"/>
            </c:ext>
          </c:extLst>
        </c:ser>
        <c:dLbls>
          <c:showLegendKey val="0"/>
          <c:showVal val="0"/>
          <c:showCatName val="0"/>
          <c:showSerName val="0"/>
          <c:showPercent val="0"/>
          <c:showBubbleSize val="0"/>
        </c:dLbls>
        <c:smooth val="0"/>
        <c:axId val="1242168495"/>
        <c:axId val="1242170895"/>
      </c:lineChart>
      <c:catAx>
        <c:axId val="1242168495"/>
        <c:scaling>
          <c:orientation val="minMax"/>
        </c:scaling>
        <c:delete val="0"/>
        <c:axPos val="b"/>
        <c:numFmt formatCode="0&quot;A&quot;"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170895"/>
        <c:crosses val="autoZero"/>
        <c:auto val="1"/>
        <c:lblAlgn val="ctr"/>
        <c:lblOffset val="100"/>
        <c:noMultiLvlLbl val="0"/>
      </c:catAx>
      <c:valAx>
        <c:axId val="124217089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1684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137357</xdr:colOff>
      <xdr:row>3</xdr:row>
      <xdr:rowOff>109286</xdr:rowOff>
    </xdr:from>
    <xdr:to>
      <xdr:col>17</xdr:col>
      <xdr:colOff>461817</xdr:colOff>
      <xdr:row>25</xdr:row>
      <xdr:rowOff>0</xdr:rowOff>
    </xdr:to>
    <xdr:sp macro="" textlink="">
      <xdr:nvSpPr>
        <xdr:cNvPr id="3" name="TextBox 2">
          <a:extLst>
            <a:ext uri="{FF2B5EF4-FFF2-40B4-BE49-F238E27FC236}">
              <a16:creationId xmlns:a16="http://schemas.microsoft.com/office/drawing/2014/main" id="{5F78CF42-0673-A3E4-74EB-17FE49669845}"/>
            </a:ext>
          </a:extLst>
        </xdr:cNvPr>
        <xdr:cNvSpPr txBox="1"/>
      </xdr:nvSpPr>
      <xdr:spPr>
        <a:xfrm>
          <a:off x="137357" y="736039"/>
          <a:ext cx="10698876" cy="40470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mn-lt"/>
              <a:ea typeface="+mn-ea"/>
              <a:cs typeface="+mn-cs"/>
            </a:rPr>
            <a:t>PROJECT OVERVIEW</a:t>
          </a:r>
        </a:p>
        <a:p>
          <a:r>
            <a:rPr lang="fr-FR" sz="1100" b="0" i="0">
              <a:solidFill>
                <a:schemeClr val="dk1"/>
              </a:solidFill>
              <a:effectLst/>
              <a:latin typeface="+mn-lt"/>
              <a:ea typeface="+mn-ea"/>
              <a:cs typeface="+mn-cs"/>
            </a:rPr>
            <a:t>This project presents a </a:t>
          </a:r>
          <a:r>
            <a:rPr lang="fr-FR" sz="1100" b="1" i="0">
              <a:solidFill>
                <a:schemeClr val="dk1"/>
              </a:solidFill>
              <a:effectLst/>
              <a:latin typeface="+mn-lt"/>
              <a:ea typeface="+mn-ea"/>
              <a:cs typeface="+mn-cs"/>
            </a:rPr>
            <a:t>Discounted Cash Flow (DCF) valuation</a:t>
          </a:r>
          <a:r>
            <a:rPr lang="fr-FR" sz="1100" b="0" i="0">
              <a:solidFill>
                <a:schemeClr val="dk1"/>
              </a:solidFill>
              <a:effectLst/>
              <a:latin typeface="+mn-lt"/>
              <a:ea typeface="+mn-ea"/>
              <a:cs typeface="+mn-cs"/>
            </a:rPr>
            <a:t> of </a:t>
          </a:r>
          <a:r>
            <a:rPr lang="fr-FR" sz="1100" b="1" i="0">
              <a:solidFill>
                <a:schemeClr val="dk1"/>
              </a:solidFill>
              <a:effectLst/>
              <a:latin typeface="+mn-lt"/>
              <a:ea typeface="+mn-ea"/>
              <a:cs typeface="+mn-cs"/>
            </a:rPr>
            <a:t>L’Oréal S.A.</a:t>
          </a:r>
          <a:r>
            <a:rPr lang="fr-FR" sz="1100" b="0" i="0">
              <a:solidFill>
                <a:schemeClr val="dk1"/>
              </a:solidFill>
              <a:effectLst/>
              <a:latin typeface="+mn-lt"/>
              <a:ea typeface="+mn-ea"/>
              <a:cs typeface="+mn-cs"/>
            </a:rPr>
            <a:t> (</a:t>
          </a:r>
          <a:r>
            <a:rPr lang="fr-FR" sz="1100" b="0" i="0" u="none" strike="noStrike">
              <a:solidFill>
                <a:schemeClr val="dk1"/>
              </a:solidFill>
              <a:effectLst/>
              <a:latin typeface="+mn-lt"/>
              <a:ea typeface="+mn-ea"/>
              <a:cs typeface="+mn-cs"/>
              <a:hlinkClick xmlns:r="http://schemas.openxmlformats.org/officeDocument/2006/relationships" r:id=""/>
            </a:rPr>
            <a:t>OR.PA</a:t>
          </a:r>
          <a:r>
            <a:rPr lang="fr-FR" sz="1100" b="0" i="0">
              <a:solidFill>
                <a:schemeClr val="dk1"/>
              </a:solidFill>
              <a:effectLst/>
              <a:latin typeface="+mn-lt"/>
              <a:ea typeface="+mn-ea"/>
              <a:cs typeface="+mn-cs"/>
            </a:rPr>
            <a:t>), the world’s leading cosmetics company. The objective is to estimate the intrinsic value of L’Oréal’s stock based on its projected free cash flows and compare it with the current market price. The model follows a two-stage DCF approach: an explicit forecast period (2024–2026) and a terminal value calculated using the perpetuity growth method. All assumptions are grounded in recent French macroeconomic data and L’Oréal’s historical financial performance.</a:t>
          </a:r>
          <a:endParaRPr lang="fr-FR"/>
        </a:p>
        <a:p>
          <a:r>
            <a:rPr lang="fr-FR" sz="1100" b="1">
              <a:solidFill>
                <a:schemeClr val="dk1"/>
              </a:solidFill>
              <a:effectLst/>
              <a:latin typeface="+mn-lt"/>
              <a:ea typeface="+mn-ea"/>
              <a:cs typeface="+mn-cs"/>
            </a:rPr>
            <a:t>APPROACH</a:t>
          </a:r>
        </a:p>
        <a:p>
          <a:r>
            <a:rPr lang="fr-FR" sz="1100" b="1" i="0">
              <a:solidFill>
                <a:schemeClr val="dk1"/>
              </a:solidFill>
              <a:effectLst/>
              <a:latin typeface="+mn-lt"/>
              <a:ea typeface="+mn-ea"/>
              <a:cs typeface="+mn-cs"/>
            </a:rPr>
            <a:t>Historical Analysis (2018–2023)</a:t>
          </a:r>
          <a:endParaRPr lang="fr-FR" sz="1100" b="0" i="0">
            <a:solidFill>
              <a:schemeClr val="dk1"/>
            </a:solidFill>
            <a:effectLst/>
            <a:latin typeface="+mn-lt"/>
            <a:ea typeface="+mn-ea"/>
            <a:cs typeface="+mn-cs"/>
          </a:endParaRPr>
        </a:p>
        <a:p>
          <a:pPr lvl="1"/>
          <a:r>
            <a:rPr lang="fr-FR" sz="1100" b="0" i="0">
              <a:solidFill>
                <a:schemeClr val="dk1"/>
              </a:solidFill>
              <a:effectLst/>
              <a:latin typeface="+mn-lt"/>
              <a:ea typeface="+mn-ea"/>
              <a:cs typeface="+mn-cs"/>
            </a:rPr>
            <a:t>Collected and analysed L’Oréal’s financial statements to compute historical Free Cash Flow (FCF = Cash Flow from Operations − Capital Expenditures).</a:t>
          </a:r>
        </a:p>
        <a:p>
          <a:r>
            <a:rPr lang="fr-FR" sz="1100" b="1" i="0">
              <a:solidFill>
                <a:schemeClr val="dk1"/>
              </a:solidFill>
              <a:effectLst/>
              <a:latin typeface="+mn-lt"/>
              <a:ea typeface="+mn-ea"/>
              <a:cs typeface="+mn-cs"/>
            </a:rPr>
            <a:t>Forecast Period (2024–2026)</a:t>
          </a:r>
          <a:endParaRPr lang="fr-FR" sz="1100" b="0" i="0">
            <a:solidFill>
              <a:schemeClr val="dk1"/>
            </a:solidFill>
            <a:effectLst/>
            <a:latin typeface="+mn-lt"/>
            <a:ea typeface="+mn-ea"/>
            <a:cs typeface="+mn-cs"/>
          </a:endParaRPr>
        </a:p>
        <a:p>
          <a:pPr lvl="1"/>
          <a:r>
            <a:rPr lang="fr-FR" sz="1100" b="0" i="0">
              <a:solidFill>
                <a:schemeClr val="dk1"/>
              </a:solidFill>
              <a:effectLst/>
              <a:latin typeface="+mn-lt"/>
              <a:ea typeface="+mn-ea"/>
              <a:cs typeface="+mn-cs"/>
            </a:rPr>
            <a:t>Projected Cash Flow from Operations and Capex using growth rates derived from industry trends and company guidance.</a:t>
          </a:r>
        </a:p>
        <a:p>
          <a:r>
            <a:rPr lang="fr-FR" sz="1100" b="1" i="0">
              <a:solidFill>
                <a:schemeClr val="dk1"/>
              </a:solidFill>
              <a:effectLst/>
              <a:latin typeface="+mn-lt"/>
              <a:ea typeface="+mn-ea"/>
              <a:cs typeface="+mn-cs"/>
            </a:rPr>
            <a:t>Terminal Value</a:t>
          </a:r>
          <a:endParaRPr lang="fr-FR" sz="1100" b="0" i="0">
            <a:solidFill>
              <a:schemeClr val="dk1"/>
            </a:solidFill>
            <a:effectLst/>
            <a:latin typeface="+mn-lt"/>
            <a:ea typeface="+mn-ea"/>
            <a:cs typeface="+mn-cs"/>
          </a:endParaRPr>
        </a:p>
        <a:p>
          <a:pPr lvl="1"/>
          <a:r>
            <a:rPr lang="fr-FR" sz="1100" b="0" i="0">
              <a:solidFill>
                <a:schemeClr val="dk1"/>
              </a:solidFill>
              <a:effectLst/>
              <a:latin typeface="+mn-lt"/>
              <a:ea typeface="+mn-ea"/>
              <a:cs typeface="+mn-cs"/>
            </a:rPr>
            <a:t>Applied the Gordon Growth Model with a long‑term growth rate consistent with French nominal GDP.</a:t>
          </a:r>
        </a:p>
        <a:p>
          <a:r>
            <a:rPr lang="fr-FR" sz="1100" b="1" i="0">
              <a:solidFill>
                <a:schemeClr val="dk1"/>
              </a:solidFill>
              <a:effectLst/>
              <a:latin typeface="+mn-lt"/>
              <a:ea typeface="+mn-ea"/>
              <a:cs typeface="+mn-cs"/>
            </a:rPr>
            <a:t>Cost of Capital (WACC)</a:t>
          </a:r>
          <a:endParaRPr lang="fr-FR" sz="1100" b="0" i="0">
            <a:solidFill>
              <a:schemeClr val="dk1"/>
            </a:solidFill>
            <a:effectLst/>
            <a:latin typeface="+mn-lt"/>
            <a:ea typeface="+mn-ea"/>
            <a:cs typeface="+mn-cs"/>
          </a:endParaRPr>
        </a:p>
        <a:p>
          <a:pPr lvl="1"/>
          <a:r>
            <a:rPr lang="fr-FR" sz="1100" b="0" i="0">
              <a:solidFill>
                <a:schemeClr val="dk1"/>
              </a:solidFill>
              <a:effectLst/>
              <a:latin typeface="+mn-lt"/>
              <a:ea typeface="+mn-ea"/>
              <a:cs typeface="+mn-cs"/>
            </a:rPr>
            <a:t>Calculated using the CAPM for cost of equity, incorporating a French risk‑free rate, market risk premium, and L’Oréal’s beta.</a:t>
          </a:r>
        </a:p>
        <a:p>
          <a:pPr lvl="1"/>
          <a:r>
            <a:rPr lang="fr-FR" sz="1100" b="0" i="0">
              <a:solidFill>
                <a:schemeClr val="dk1"/>
              </a:solidFill>
              <a:effectLst/>
              <a:latin typeface="+mn-lt"/>
              <a:ea typeface="+mn-ea"/>
              <a:cs typeface="+mn-cs"/>
            </a:rPr>
            <a:t>Cost of debt estimated from the company’s credit rating and the prevailing corporate bond yields.</a:t>
          </a:r>
        </a:p>
        <a:p>
          <a:pPr lvl="1"/>
          <a:r>
            <a:rPr lang="fr-FR" sz="1100" b="0" i="0">
              <a:solidFill>
                <a:schemeClr val="dk1"/>
              </a:solidFill>
              <a:effectLst/>
              <a:latin typeface="+mn-lt"/>
              <a:ea typeface="+mn-ea"/>
              <a:cs typeface="+mn-cs"/>
            </a:rPr>
            <a:t>Weighted by the market value of debt and equity.</a:t>
          </a:r>
        </a:p>
        <a:p>
          <a:r>
            <a:rPr lang="fr-FR" sz="1100" b="1" i="0">
              <a:solidFill>
                <a:schemeClr val="dk1"/>
              </a:solidFill>
              <a:effectLst/>
              <a:latin typeface="+mn-lt"/>
              <a:ea typeface="+mn-ea"/>
              <a:cs typeface="+mn-cs"/>
            </a:rPr>
            <a:t>Discounting &amp; Valuation</a:t>
          </a:r>
          <a:endParaRPr lang="fr-FR" sz="1100" b="0" i="0">
            <a:solidFill>
              <a:schemeClr val="dk1"/>
            </a:solidFill>
            <a:effectLst/>
            <a:latin typeface="+mn-lt"/>
            <a:ea typeface="+mn-ea"/>
            <a:cs typeface="+mn-cs"/>
          </a:endParaRPr>
        </a:p>
        <a:p>
          <a:pPr lvl="1"/>
          <a:r>
            <a:rPr lang="fr-FR" sz="1100" b="0" i="0">
              <a:solidFill>
                <a:schemeClr val="dk1"/>
              </a:solidFill>
              <a:effectLst/>
              <a:latin typeface="+mn-lt"/>
              <a:ea typeface="+mn-ea"/>
              <a:cs typeface="+mn-cs"/>
            </a:rPr>
            <a:t>Discounted future FCFs and terminal value at the WACC to obtain Enterprise Value.</a:t>
          </a:r>
        </a:p>
        <a:p>
          <a:pPr lvl="1"/>
          <a:r>
            <a:rPr lang="fr-FR" sz="1100" b="0" i="0">
              <a:solidFill>
                <a:schemeClr val="dk1"/>
              </a:solidFill>
              <a:effectLst/>
              <a:latin typeface="+mn-lt"/>
              <a:ea typeface="+mn-ea"/>
              <a:cs typeface="+mn-cs"/>
            </a:rPr>
            <a:t>Subtracted net debt and added cash to derive Equity Value, then divided by shares outstanding to get the implied share price.</a:t>
          </a:r>
        </a:p>
        <a:p>
          <a:r>
            <a:rPr lang="fr-FR" sz="1100" b="1" i="0">
              <a:solidFill>
                <a:schemeClr val="dk1"/>
              </a:solidFill>
              <a:effectLst/>
              <a:latin typeface="+mn-lt"/>
              <a:ea typeface="+mn-ea"/>
              <a:cs typeface="+mn-cs"/>
            </a:rPr>
            <a:t>Sensitivity Analysis</a:t>
          </a:r>
          <a:endParaRPr lang="fr-FR" sz="1100" b="0" i="0">
            <a:solidFill>
              <a:schemeClr val="dk1"/>
            </a:solidFill>
            <a:effectLst/>
            <a:latin typeface="+mn-lt"/>
            <a:ea typeface="+mn-ea"/>
            <a:cs typeface="+mn-cs"/>
          </a:endParaRPr>
        </a:p>
        <a:p>
          <a:pPr lvl="1"/>
          <a:r>
            <a:rPr lang="fr-FR" sz="1100" b="0" i="0">
              <a:solidFill>
                <a:schemeClr val="dk1"/>
              </a:solidFill>
              <a:effectLst/>
              <a:latin typeface="+mn-lt"/>
              <a:ea typeface="+mn-ea"/>
              <a:cs typeface="+mn-cs"/>
            </a:rPr>
            <a:t>Built a two‑way data table to show how the share price responds to changes in WACC and long‑term growth rate.</a:t>
          </a:r>
        </a:p>
        <a:p>
          <a:br>
            <a:rPr lang="fr-FR"/>
          </a:br>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247073</xdr:colOff>
      <xdr:row>40</xdr:row>
      <xdr:rowOff>35406</xdr:rowOff>
    </xdr:from>
    <xdr:to>
      <xdr:col>6</xdr:col>
      <xdr:colOff>509539</xdr:colOff>
      <xdr:row>54</xdr:row>
      <xdr:rowOff>169334</xdr:rowOff>
    </xdr:to>
    <xdr:graphicFrame macro="">
      <xdr:nvGraphicFramePr>
        <xdr:cNvPr id="3" name="Chart 2">
          <a:extLst>
            <a:ext uri="{FF2B5EF4-FFF2-40B4-BE49-F238E27FC236}">
              <a16:creationId xmlns:a16="http://schemas.microsoft.com/office/drawing/2014/main" id="{A940808B-DBEB-8358-6200-D04C28B68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1005416</xdr:colOff>
      <xdr:row>40</xdr:row>
      <xdr:rowOff>86976</xdr:rowOff>
    </xdr:from>
    <xdr:to>
      <xdr:col>16</xdr:col>
      <xdr:colOff>391583</xdr:colOff>
      <xdr:row>54</xdr:row>
      <xdr:rowOff>95250</xdr:rowOff>
    </xdr:to>
    <xdr:graphicFrame macro="">
      <xdr:nvGraphicFramePr>
        <xdr:cNvPr id="2" name="Chart 1">
          <a:extLst>
            <a:ext uri="{FF2B5EF4-FFF2-40B4-BE49-F238E27FC236}">
              <a16:creationId xmlns:a16="http://schemas.microsoft.com/office/drawing/2014/main" id="{C92C36CD-4788-1AE3-2598-79B014268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Hasnaa SAMMOUD" id="{5CE5F11A-27E5-4B3E-A6E6-8F0CA13AD07C}" userId="S::hasnaa.sammoud@rennes-sb.com::346de441-a23c-417c-bfcd-9ebb65d2ea9a"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16" dT="2026-02-28T19:30:25.51" personId="{5CE5F11A-27E5-4B3E-A6E6-8F0CA13AD07C}" id="{9CC8E58E-3A71-40BD-BD98-C34E3F940D81}">
    <text xml:space="preserve">Basé sur la croissance potentielle de l'économie française (PIB nominal)
L'inflation étant à 0,9% , une croissance nominale de 1,5-2% est réaliste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BD90-84A2-472C-8B24-B635B710EEDA}">
  <dimension ref="A3:R27"/>
  <sheetViews>
    <sheetView showGridLines="0" zoomScale="77" workbookViewId="0">
      <selection activeCell="W19" sqref="W19"/>
    </sheetView>
  </sheetViews>
  <sheetFormatPr baseColWidth="10" defaultColWidth="8.7265625" defaultRowHeight="14.5" x14ac:dyDescent="0.35"/>
  <sheetData>
    <row r="3" spans="1:18" ht="21" x14ac:dyDescent="0.5">
      <c r="A3" s="43" t="s">
        <v>32</v>
      </c>
      <c r="B3" s="43"/>
      <c r="C3" s="43"/>
      <c r="D3" s="43"/>
      <c r="E3" s="43"/>
      <c r="F3" s="43"/>
      <c r="G3" s="43"/>
      <c r="H3" s="43"/>
      <c r="I3" s="43"/>
      <c r="J3" s="43"/>
      <c r="K3" s="43"/>
      <c r="L3" s="43"/>
      <c r="M3" s="43"/>
      <c r="N3" s="43"/>
      <c r="O3" s="43"/>
      <c r="P3" s="43"/>
      <c r="Q3" s="43"/>
      <c r="R3" s="43"/>
    </row>
    <row r="11" spans="1:18" ht="21" x14ac:dyDescent="0.5">
      <c r="A11" s="41"/>
      <c r="B11" s="41"/>
      <c r="C11" s="41"/>
      <c r="D11" s="41"/>
      <c r="E11" s="41"/>
      <c r="F11" s="41"/>
      <c r="G11" s="41"/>
      <c r="H11" s="41"/>
      <c r="I11" s="41"/>
      <c r="J11" s="41"/>
      <c r="K11" s="41"/>
      <c r="L11" s="41"/>
      <c r="M11" s="41"/>
      <c r="N11" s="41"/>
      <c r="O11" s="41"/>
      <c r="P11" s="41"/>
      <c r="Q11" s="41"/>
      <c r="R11" s="41"/>
    </row>
    <row r="19" spans="1:18" ht="21" x14ac:dyDescent="0.5">
      <c r="A19" s="41"/>
      <c r="B19" s="41"/>
      <c r="C19" s="41"/>
      <c r="D19" s="41"/>
      <c r="E19" s="41"/>
      <c r="F19" s="41"/>
      <c r="G19" s="41"/>
      <c r="H19" s="41"/>
      <c r="I19" s="41"/>
      <c r="J19" s="41"/>
      <c r="K19" s="41"/>
      <c r="L19" s="41"/>
      <c r="M19" s="41"/>
      <c r="N19" s="41"/>
      <c r="O19" s="41"/>
      <c r="P19" s="41"/>
      <c r="Q19" s="41"/>
      <c r="R19" s="41"/>
    </row>
    <row r="27" spans="1:18" ht="21" x14ac:dyDescent="0.5">
      <c r="A27" s="41"/>
      <c r="B27" s="41"/>
      <c r="C27" s="41"/>
      <c r="D27" s="41"/>
      <c r="E27" s="41"/>
      <c r="F27" s="41"/>
      <c r="G27" s="41"/>
      <c r="H27" s="41"/>
      <c r="I27" s="41"/>
      <c r="J27" s="41"/>
      <c r="K27" s="41"/>
      <c r="L27" s="41"/>
      <c r="M27" s="41"/>
      <c r="N27" s="41"/>
      <c r="O27" s="42"/>
      <c r="P27" s="42"/>
      <c r="Q27" s="42"/>
      <c r="R27" s="42"/>
    </row>
  </sheetData>
  <mergeCells count="4">
    <mergeCell ref="A3:R3"/>
    <mergeCell ref="A11:R11"/>
    <mergeCell ref="A19:R19"/>
    <mergeCell ref="A27:N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8298-8EE2-4F6C-8EC3-2DCBA40790E4}">
  <dimension ref="A1:AM38"/>
  <sheetViews>
    <sheetView showGridLines="0" tabSelected="1" topLeftCell="A10" zoomScale="60" workbookViewId="0">
      <selection activeCell="Q29" sqref="Q29"/>
    </sheetView>
  </sheetViews>
  <sheetFormatPr baseColWidth="10" defaultColWidth="11.81640625" defaultRowHeight="18.5" x14ac:dyDescent="0.45"/>
  <cols>
    <col min="1" max="1" width="11.81640625" style="1"/>
    <col min="2" max="2" width="30.54296875" style="1" customWidth="1"/>
    <col min="3" max="3" width="12" style="1" bestFit="1" customWidth="1"/>
    <col min="4" max="4" width="18" style="1" customWidth="1"/>
    <col min="5" max="5" width="12" style="1" bestFit="1" customWidth="1"/>
    <col min="6" max="6" width="14.90625" style="1" bestFit="1" customWidth="1"/>
    <col min="7" max="9" width="13.453125" style="1" bestFit="1" customWidth="1"/>
    <col min="10" max="10" width="15" style="1" bestFit="1" customWidth="1"/>
    <col min="11" max="14" width="11.81640625" style="1"/>
    <col min="15" max="15" width="12" style="1" bestFit="1" customWidth="1"/>
    <col min="16" max="16" width="14.90625" style="1" customWidth="1"/>
    <col min="17" max="17" width="14.90625" style="1" bestFit="1" customWidth="1"/>
    <col min="18" max="18" width="14.90625" style="1" customWidth="1"/>
    <col min="19" max="20" width="14.90625" style="1" bestFit="1" customWidth="1"/>
    <col min="21" max="24" width="14.1796875" style="1" bestFit="1" customWidth="1"/>
    <col min="25" max="26" width="12.81640625" style="1" bestFit="1" customWidth="1"/>
    <col min="27" max="16384" width="11.81640625" style="1"/>
  </cols>
  <sheetData>
    <row r="1" spans="1:27" ht="36" x14ac:dyDescent="0.4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x14ac:dyDescent="0.45">
      <c r="G2" s="18"/>
      <c r="H2" s="18"/>
      <c r="I2" s="18"/>
      <c r="J2" s="18"/>
      <c r="K2" s="18"/>
      <c r="L2" s="18"/>
      <c r="O2" s="1" t="s">
        <v>4</v>
      </c>
      <c r="R2" s="37">
        <v>3.3000000000000002E-2</v>
      </c>
    </row>
    <row r="3" spans="1:27" x14ac:dyDescent="0.45">
      <c r="E3" s="3" t="s">
        <v>10</v>
      </c>
      <c r="O3" s="1" t="s">
        <v>5</v>
      </c>
      <c r="R3" s="37">
        <v>3.5000000000000003E-2</v>
      </c>
    </row>
    <row r="4" spans="1:27" x14ac:dyDescent="0.45">
      <c r="H4" s="22"/>
      <c r="I4" s="22"/>
      <c r="J4" s="22"/>
      <c r="O4" s="1" t="s">
        <v>6</v>
      </c>
      <c r="R4" s="38">
        <v>0.89</v>
      </c>
      <c r="T4" s="3"/>
    </row>
    <row r="5" spans="1:27" x14ac:dyDescent="0.45">
      <c r="B5" s="24"/>
      <c r="C5" s="25">
        <v>2018</v>
      </c>
      <c r="D5" s="25">
        <v>2019</v>
      </c>
      <c r="E5" s="25">
        <v>2020</v>
      </c>
      <c r="F5" s="25">
        <v>2021</v>
      </c>
      <c r="G5" s="25">
        <v>2022</v>
      </c>
      <c r="H5" s="26">
        <v>2023</v>
      </c>
      <c r="I5" s="26">
        <v>2024</v>
      </c>
      <c r="J5" s="26">
        <v>2025</v>
      </c>
      <c r="O5" s="1" t="s">
        <v>7</v>
      </c>
      <c r="R5" s="36">
        <v>6700</v>
      </c>
      <c r="S5" s="4"/>
    </row>
    <row r="6" spans="1:27" x14ac:dyDescent="0.45">
      <c r="B6" s="1" t="s">
        <v>2</v>
      </c>
      <c r="C6" s="36">
        <v>3500</v>
      </c>
      <c r="D6" s="36">
        <v>3800</v>
      </c>
      <c r="E6" s="36">
        <v>4000</v>
      </c>
      <c r="F6" s="36">
        <v>4500</v>
      </c>
      <c r="G6" s="36">
        <v>5000</v>
      </c>
      <c r="H6" s="5">
        <v>5500</v>
      </c>
      <c r="I6" s="5">
        <f>H6*(1+I7)</f>
        <v>5720</v>
      </c>
      <c r="J6" s="5">
        <f t="shared" ref="J6" si="0">I6*(1+J7)</f>
        <v>5891.6</v>
      </c>
      <c r="O6" s="1" t="s">
        <v>8</v>
      </c>
      <c r="R6" s="37">
        <v>5.1999999999999998E-2</v>
      </c>
    </row>
    <row r="7" spans="1:27" x14ac:dyDescent="0.45">
      <c r="B7" s="1" t="s">
        <v>13</v>
      </c>
      <c r="C7" s="36" t="str">
        <f t="shared" ref="C7:G7" si="1">IFERROR((C6-B6)/B6,"NA")</f>
        <v>NA</v>
      </c>
      <c r="D7" s="6">
        <f t="shared" si="1"/>
        <v>8.5714285714285715E-2</v>
      </c>
      <c r="E7" s="6">
        <f t="shared" si="1"/>
        <v>5.2631578947368418E-2</v>
      </c>
      <c r="F7" s="6">
        <f t="shared" si="1"/>
        <v>0.125</v>
      </c>
      <c r="G7" s="6">
        <f t="shared" si="1"/>
        <v>0.1111111111111111</v>
      </c>
      <c r="H7" s="6">
        <v>0.05</v>
      </c>
      <c r="I7" s="6">
        <v>0.04</v>
      </c>
      <c r="J7" s="6">
        <v>0.03</v>
      </c>
      <c r="R7" s="2"/>
    </row>
    <row r="8" spans="1:27" x14ac:dyDescent="0.45">
      <c r="B8" s="1" t="s">
        <v>3</v>
      </c>
      <c r="C8" s="36">
        <v>1100</v>
      </c>
      <c r="D8" s="36">
        <v>1100</v>
      </c>
      <c r="E8" s="36">
        <v>1150</v>
      </c>
      <c r="F8" s="36">
        <v>1300</v>
      </c>
      <c r="G8" s="36">
        <v>1400</v>
      </c>
      <c r="H8" s="5">
        <v>1500</v>
      </c>
      <c r="I8" s="5">
        <f t="shared" ref="I8:J8" si="2">H8*(1+I9)</f>
        <v>1545</v>
      </c>
      <c r="J8" s="5">
        <f t="shared" si="2"/>
        <v>1575.9</v>
      </c>
      <c r="O8" s="1" t="s">
        <v>11</v>
      </c>
      <c r="R8" s="36">
        <v>82100</v>
      </c>
    </row>
    <row r="9" spans="1:27" x14ac:dyDescent="0.45">
      <c r="B9" s="1" t="s">
        <v>13</v>
      </c>
      <c r="C9" s="36" t="str">
        <f t="shared" ref="C9:G9" si="3">IFERROR((C8-B8)/B8,"NA")</f>
        <v>NA</v>
      </c>
      <c r="D9" s="6">
        <f t="shared" si="3"/>
        <v>0</v>
      </c>
      <c r="E9" s="6">
        <f t="shared" si="3"/>
        <v>4.5454545454545456E-2</v>
      </c>
      <c r="F9" s="6">
        <f t="shared" si="3"/>
        <v>0.13043478260869565</v>
      </c>
      <c r="G9" s="6">
        <f t="shared" si="3"/>
        <v>7.6923076923076927E-2</v>
      </c>
      <c r="H9" s="37">
        <v>0.04</v>
      </c>
      <c r="I9" s="37">
        <v>0.03</v>
      </c>
      <c r="J9" s="37">
        <v>0.02</v>
      </c>
      <c r="O9" s="1" t="s">
        <v>16</v>
      </c>
      <c r="R9" s="5">
        <f>R8+R5</f>
        <v>88800</v>
      </c>
    </row>
    <row r="10" spans="1:27" x14ac:dyDescent="0.45">
      <c r="B10" s="3" t="s">
        <v>1</v>
      </c>
      <c r="C10" s="27">
        <f>C6-C8</f>
        <v>2400</v>
      </c>
      <c r="D10" s="27">
        <f>D6-D8</f>
        <v>2700</v>
      </c>
      <c r="E10" s="27">
        <f>E6-E8</f>
        <v>2850</v>
      </c>
      <c r="F10" s="27">
        <f>F6-F8</f>
        <v>3200</v>
      </c>
      <c r="G10" s="27">
        <f>G6-G8</f>
        <v>3600</v>
      </c>
      <c r="H10" s="27">
        <f t="shared" ref="H10:J10" si="4">H6-H8</f>
        <v>4000</v>
      </c>
      <c r="I10" s="27">
        <f t="shared" si="4"/>
        <v>4175</v>
      </c>
      <c r="J10" s="27">
        <f t="shared" si="4"/>
        <v>4315.7000000000007</v>
      </c>
      <c r="O10" s="1" t="s">
        <v>9</v>
      </c>
      <c r="R10" s="7">
        <f>$R$2+$R$4*($R$6)</f>
        <v>7.9280000000000003E-2</v>
      </c>
    </row>
    <row r="11" spans="1:27" x14ac:dyDescent="0.45">
      <c r="B11" s="1" t="s">
        <v>12</v>
      </c>
      <c r="C11" s="4" t="str">
        <f>IFERROR((C10-B10)/B10,"NA")</f>
        <v>NA</v>
      </c>
      <c r="D11" s="6">
        <f>IFERROR((D10-C10)/-C10,"NA")</f>
        <v>-0.125</v>
      </c>
      <c r="E11" s="6">
        <f t="shared" ref="E11:J11" si="5">IFERROR((E10-D10)/-D10,"NA")</f>
        <v>-5.5555555555555552E-2</v>
      </c>
      <c r="F11" s="6">
        <f t="shared" si="5"/>
        <v>-0.12280701754385964</v>
      </c>
      <c r="G11" s="6">
        <f t="shared" si="5"/>
        <v>-0.125</v>
      </c>
      <c r="H11" s="6">
        <f t="shared" si="5"/>
        <v>-0.1111111111111111</v>
      </c>
      <c r="I11" s="6">
        <f t="shared" si="5"/>
        <v>-4.3749999999999997E-2</v>
      </c>
      <c r="J11" s="6">
        <f t="shared" si="5"/>
        <v>-3.3700598802395385E-2</v>
      </c>
      <c r="R11" s="5"/>
    </row>
    <row r="12" spans="1:27" x14ac:dyDescent="0.45">
      <c r="O12" s="1" t="s">
        <v>15</v>
      </c>
      <c r="R12" s="39">
        <v>0.25</v>
      </c>
    </row>
    <row r="13" spans="1:27" x14ac:dyDescent="0.45">
      <c r="B13" s="3" t="s">
        <v>18</v>
      </c>
      <c r="J13" s="28">
        <f>$J$10*(1+R16)/(R14-R16)</f>
        <v>79632.861313532558</v>
      </c>
    </row>
    <row r="14" spans="1:27" x14ac:dyDescent="0.45">
      <c r="O14" s="1" t="s">
        <v>14</v>
      </c>
      <c r="R14" s="6">
        <f>(R8/R9)*R10+(R5/R9)*R3*(1-R12)</f>
        <v>7.5278862612612629E-2</v>
      </c>
    </row>
    <row r="16" spans="1:27" x14ac:dyDescent="0.45">
      <c r="B16" s="29" t="s">
        <v>19</v>
      </c>
      <c r="C16" s="30">
        <v>0</v>
      </c>
      <c r="D16" s="30">
        <v>0</v>
      </c>
      <c r="E16" s="30">
        <v>0</v>
      </c>
      <c r="F16" s="30">
        <v>0</v>
      </c>
      <c r="G16" s="30">
        <v>0</v>
      </c>
      <c r="H16" s="30">
        <v>0</v>
      </c>
      <c r="I16" s="30">
        <v>1</v>
      </c>
      <c r="J16" s="30">
        <v>2</v>
      </c>
      <c r="O16" s="1" t="s">
        <v>17</v>
      </c>
      <c r="R16" s="37">
        <v>0.02</v>
      </c>
    </row>
    <row r="17" spans="2:39" x14ac:dyDescent="0.45">
      <c r="B17" s="1" t="s">
        <v>20</v>
      </c>
      <c r="H17" s="9">
        <f>1/(1+$R$14)^H16</f>
        <v>1</v>
      </c>
      <c r="I17" s="9">
        <f>1/(1+$R$14)^I16</f>
        <v>0.92999131180751837</v>
      </c>
      <c r="J17" s="9">
        <f t="shared" ref="J17" si="6">1/(1+$R$14)^J16</f>
        <v>0.86488384003746899</v>
      </c>
    </row>
    <row r="18" spans="2:39" ht="23.5" x14ac:dyDescent="0.55000000000000004">
      <c r="B18" s="1" t="s">
        <v>21</v>
      </c>
      <c r="C18" s="5">
        <f>C10</f>
        <v>2400</v>
      </c>
      <c r="D18" s="5">
        <f t="shared" ref="D18:G18" si="7">D10</f>
        <v>2700</v>
      </c>
      <c r="E18" s="5">
        <f t="shared" si="7"/>
        <v>2850</v>
      </c>
      <c r="F18" s="5">
        <f t="shared" si="7"/>
        <v>3200</v>
      </c>
      <c r="G18" s="5">
        <f t="shared" si="7"/>
        <v>3600</v>
      </c>
      <c r="H18" s="5">
        <f>H17*H10</f>
        <v>4000</v>
      </c>
      <c r="I18" s="5">
        <f>I17*I10</f>
        <v>3882.713726796389</v>
      </c>
      <c r="J18" s="5">
        <f>J17*J10</f>
        <v>3732.5791884497057</v>
      </c>
      <c r="L18" s="5"/>
      <c r="O18" s="32" t="s">
        <v>31</v>
      </c>
      <c r="P18" s="32"/>
      <c r="Q18" s="32"/>
      <c r="R18" s="32"/>
      <c r="S18" s="32"/>
      <c r="T18" s="32"/>
      <c r="U18" s="32"/>
      <c r="V18" s="32"/>
      <c r="W18" s="32"/>
      <c r="X18" s="32"/>
      <c r="Y18" s="32"/>
      <c r="Z18" s="32"/>
      <c r="AA18" s="32"/>
      <c r="AB18" s="32"/>
    </row>
    <row r="19" spans="2:39" ht="19" thickBot="1" x14ac:dyDescent="0.5">
      <c r="B19" s="1" t="s">
        <v>22</v>
      </c>
      <c r="J19" s="5">
        <f>J17*J13</f>
        <v>68873.174886019246</v>
      </c>
      <c r="O19" s="17"/>
      <c r="P19" s="33" t="s">
        <v>14</v>
      </c>
      <c r="Q19" s="33"/>
      <c r="R19" s="33"/>
      <c r="S19" s="33"/>
      <c r="T19" s="33"/>
      <c r="U19" s="33"/>
      <c r="V19" s="33"/>
      <c r="W19" s="33"/>
      <c r="X19" s="33"/>
      <c r="Y19" s="33"/>
      <c r="Z19" s="33"/>
    </row>
    <row r="20" spans="2:39" x14ac:dyDescent="0.45">
      <c r="B20" s="10" t="s">
        <v>23</v>
      </c>
      <c r="C20" s="11"/>
      <c r="D20" s="11"/>
      <c r="E20" s="11"/>
      <c r="F20" s="11"/>
      <c r="G20" s="11"/>
      <c r="H20" s="11"/>
      <c r="I20" s="11"/>
      <c r="J20" s="31">
        <f>SUM(H18:J19)</f>
        <v>80488.467801265346</v>
      </c>
      <c r="N20" s="8"/>
      <c r="O20" s="8">
        <f>F27/F30</f>
        <v>156.64507078888641</v>
      </c>
      <c r="P20" s="12">
        <v>0.05</v>
      </c>
      <c r="Q20" s="12">
        <v>5.5E-2</v>
      </c>
      <c r="R20" s="12">
        <v>0.06</v>
      </c>
      <c r="S20" s="12">
        <v>6.5000000000000002E-2</v>
      </c>
      <c r="T20" s="12">
        <v>7.0000000000000007E-2</v>
      </c>
      <c r="U20" s="12">
        <v>7.4999999999999997E-2</v>
      </c>
      <c r="V20" s="12">
        <v>0.08</v>
      </c>
      <c r="W20" s="12">
        <v>8.5000000000000006E-2</v>
      </c>
      <c r="X20" s="12">
        <v>0.09</v>
      </c>
      <c r="Y20" s="12">
        <v>9.5000000000000001E-2</v>
      </c>
      <c r="Z20" s="12">
        <v>0.1</v>
      </c>
      <c r="AA20" s="6"/>
      <c r="AB20" s="8"/>
      <c r="AC20" s="12"/>
      <c r="AD20" s="12"/>
      <c r="AE20" s="12"/>
      <c r="AF20" s="12"/>
      <c r="AG20" s="12"/>
      <c r="AH20" s="12"/>
      <c r="AI20" s="12"/>
      <c r="AJ20" s="12"/>
      <c r="AK20" s="12"/>
      <c r="AL20" s="12"/>
      <c r="AM20" s="12"/>
    </row>
    <row r="21" spans="2:39" x14ac:dyDescent="0.45">
      <c r="N21" s="34" t="s">
        <v>13</v>
      </c>
      <c r="O21" s="13">
        <v>0.03</v>
      </c>
      <c r="P21" s="27">
        <f t="dataTable" ref="P21:Z26" dt2D="1" dtr="1" r1="R14" r2="R16"/>
        <v>405.70358480470838</v>
      </c>
      <c r="Q21" s="5">
        <v>327.23929211708116</v>
      </c>
      <c r="R21" s="5">
        <v>274.92980472522555</v>
      </c>
      <c r="S21" s="5">
        <v>237.56591986375184</v>
      </c>
      <c r="T21" s="5">
        <v>209.54303615807345</v>
      </c>
      <c r="U21" s="5">
        <v>187.74748618490457</v>
      </c>
      <c r="V21" s="5">
        <v>170.31106949646275</v>
      </c>
      <c r="W21" s="5">
        <v>156.04493126783817</v>
      </c>
      <c r="X21" s="5">
        <v>144.15650162068059</v>
      </c>
      <c r="Y21" s="5">
        <v>134.09707833595786</v>
      </c>
      <c r="Z21" s="5">
        <v>125.47473126124811</v>
      </c>
      <c r="AB21" s="13"/>
      <c r="AC21" s="5"/>
      <c r="AD21" s="5"/>
      <c r="AE21" s="5"/>
      <c r="AF21" s="5"/>
      <c r="AG21" s="5"/>
      <c r="AH21" s="5"/>
      <c r="AI21" s="5"/>
      <c r="AJ21" s="5"/>
      <c r="AK21" s="5"/>
      <c r="AL21" s="5"/>
      <c r="AM21" s="5"/>
    </row>
    <row r="22" spans="2:39" x14ac:dyDescent="0.45">
      <c r="N22" s="34"/>
      <c r="O22" s="13">
        <v>0.05</v>
      </c>
      <c r="P22" s="5" t="e">
        <v>#DIV/0!</v>
      </c>
      <c r="Q22" s="28">
        <v>1552.9204607984107</v>
      </c>
      <c r="R22" s="27">
        <v>783.22132711469192</v>
      </c>
      <c r="S22" s="27">
        <v>526.65459255742542</v>
      </c>
      <c r="T22" s="5">
        <v>398.37096153173013</v>
      </c>
      <c r="U22" s="5">
        <v>321.40057486281694</v>
      </c>
      <c r="V22" s="5">
        <v>270.08681278032094</v>
      </c>
      <c r="W22" s="5">
        <v>233.43398105889693</v>
      </c>
      <c r="X22" s="5">
        <v>205.94423255334505</v>
      </c>
      <c r="Y22" s="5">
        <v>184.5632077103013</v>
      </c>
      <c r="Z22" s="5">
        <v>167.4582907728975</v>
      </c>
      <c r="AB22" s="13"/>
      <c r="AC22" s="5"/>
      <c r="AD22" s="5"/>
      <c r="AE22" s="5"/>
      <c r="AF22" s="5"/>
      <c r="AG22" s="5"/>
      <c r="AH22" s="5"/>
      <c r="AI22" s="5"/>
      <c r="AJ22" s="5"/>
      <c r="AK22" s="5"/>
      <c r="AL22" s="5"/>
      <c r="AM22" s="5"/>
    </row>
    <row r="23" spans="2:39" x14ac:dyDescent="0.45">
      <c r="N23" s="34"/>
      <c r="O23" s="13">
        <v>0.06</v>
      </c>
      <c r="P23" s="5">
        <v>-748.84430176565058</v>
      </c>
      <c r="Q23" s="5">
        <v>-1511.2824609049128</v>
      </c>
      <c r="R23" s="5" t="e">
        <v>#DIV/0!</v>
      </c>
      <c r="S23" s="27">
        <v>1538.4649469852814</v>
      </c>
      <c r="T23" s="27">
        <v>776.02681227904304</v>
      </c>
      <c r="U23" s="27">
        <v>521.88020787968537</v>
      </c>
      <c r="V23" s="5">
        <v>394.8064918851436</v>
      </c>
      <c r="W23" s="5">
        <v>318.56193582906155</v>
      </c>
      <c r="X23" s="5">
        <v>267.73196348600948</v>
      </c>
      <c r="Y23" s="5">
        <v>231.42461355790587</v>
      </c>
      <c r="Z23" s="5">
        <v>204.19390534559071</v>
      </c>
      <c r="AB23" s="13"/>
      <c r="AC23" s="5"/>
      <c r="AD23" s="5"/>
      <c r="AE23" s="5"/>
      <c r="AF23" s="5"/>
      <c r="AG23" s="5"/>
      <c r="AH23" s="5"/>
      <c r="AI23" s="5"/>
      <c r="AJ23" s="5"/>
      <c r="AK23" s="5"/>
      <c r="AL23" s="5"/>
      <c r="AM23" s="5"/>
    </row>
    <row r="24" spans="2:39" x14ac:dyDescent="0.45">
      <c r="B24" s="3" t="s">
        <v>28</v>
      </c>
      <c r="F24" s="5">
        <f>J20</f>
        <v>80488.467801265346</v>
      </c>
      <c r="N24" s="34"/>
      <c r="O24" s="13">
        <v>7.0000000000000007E-2</v>
      </c>
      <c r="P24" s="5">
        <v>-363.99500624219723</v>
      </c>
      <c r="Q24" s="5">
        <v>-489.88148700380447</v>
      </c>
      <c r="R24" s="5">
        <v>-741.65324005370587</v>
      </c>
      <c r="S24" s="5">
        <v>-1496.9661162982884</v>
      </c>
      <c r="T24" s="5" t="e">
        <v>#DIV/0!</v>
      </c>
      <c r="U24" s="27">
        <v>1524.2783729640307</v>
      </c>
      <c r="V24" s="27">
        <v>768.96552919961209</v>
      </c>
      <c r="W24" s="27">
        <v>517.19383029277935</v>
      </c>
      <c r="X24" s="5">
        <v>391.30742535133857</v>
      </c>
      <c r="Y24" s="5">
        <v>315.77514408359423</v>
      </c>
      <c r="Z24" s="5">
        <v>265.41992963341278</v>
      </c>
      <c r="AB24" s="13"/>
      <c r="AC24" s="5"/>
      <c r="AD24" s="5"/>
      <c r="AE24" s="5"/>
      <c r="AF24" s="5"/>
      <c r="AG24" s="5"/>
      <c r="AH24" s="5"/>
      <c r="AI24" s="5"/>
      <c r="AJ24" s="5"/>
      <c r="AK24" s="5"/>
      <c r="AL24" s="5"/>
      <c r="AM24" s="5"/>
    </row>
    <row r="25" spans="2:39" x14ac:dyDescent="0.45">
      <c r="B25" s="1" t="s">
        <v>7</v>
      </c>
      <c r="F25" s="5">
        <f>R5</f>
        <v>6700</v>
      </c>
      <c r="N25" s="34"/>
      <c r="O25" s="13">
        <v>0.09</v>
      </c>
      <c r="P25" s="5">
        <v>-171.5703584804709</v>
      </c>
      <c r="Q25" s="5">
        <v>-198.05263731777401</v>
      </c>
      <c r="R25" s="5">
        <v>-233.36171766424056</v>
      </c>
      <c r="S25" s="5">
        <v>-282.79369098486063</v>
      </c>
      <c r="T25" s="5">
        <v>-356.94073996289711</v>
      </c>
      <c r="U25" s="5">
        <v>-480.51795720465719</v>
      </c>
      <c r="V25" s="5">
        <v>-727.67062005826097</v>
      </c>
      <c r="W25" s="5">
        <v>-1469.1251143444001</v>
      </c>
      <c r="X25" s="5" t="e">
        <v>#DIV/0!</v>
      </c>
      <c r="Y25" s="27">
        <v>1496.6825714432291</v>
      </c>
      <c r="Z25" s="27">
        <v>755.22812393598861</v>
      </c>
      <c r="AB25" s="13"/>
      <c r="AC25" s="5"/>
      <c r="AD25" s="5"/>
      <c r="AE25" s="5"/>
      <c r="AF25" s="5"/>
      <c r="AG25" s="5"/>
      <c r="AH25" s="5"/>
      <c r="AI25" s="5"/>
      <c r="AJ25" s="5"/>
      <c r="AK25" s="5"/>
      <c r="AL25" s="5"/>
      <c r="AM25" s="5"/>
    </row>
    <row r="26" spans="2:39" ht="19" thickBot="1" x14ac:dyDescent="0.5">
      <c r="B26" s="1" t="s">
        <v>24</v>
      </c>
      <c r="F26" s="5">
        <v>9860</v>
      </c>
      <c r="N26" s="34"/>
      <c r="O26" s="13">
        <v>0.1</v>
      </c>
      <c r="P26" s="5">
        <v>-133.08542892812559</v>
      </c>
      <c r="Q26" s="5">
        <v>-149.41449570343551</v>
      </c>
      <c r="R26" s="5">
        <v>-169.82527736555721</v>
      </c>
      <c r="S26" s="5">
        <v>-196.06708917675851</v>
      </c>
      <c r="T26" s="5">
        <v>-231.05545638045908</v>
      </c>
      <c r="U26" s="5">
        <v>-280.03832418778848</v>
      </c>
      <c r="V26" s="5">
        <v>-353.51158274379253</v>
      </c>
      <c r="W26" s="5">
        <v>-475.9656420258089</v>
      </c>
      <c r="X26" s="5">
        <v>-720.87173143662119</v>
      </c>
      <c r="Y26" s="5">
        <v>-1455.5859969558592</v>
      </c>
      <c r="Z26" s="5" t="e">
        <v>#DIV/0!</v>
      </c>
      <c r="AB26" s="13"/>
      <c r="AC26" s="5"/>
      <c r="AD26" s="5"/>
      <c r="AE26" s="5"/>
      <c r="AF26" s="5"/>
      <c r="AG26" s="5"/>
      <c r="AH26" s="5"/>
      <c r="AI26" s="5"/>
      <c r="AJ26" s="5"/>
      <c r="AK26" s="5"/>
      <c r="AL26" s="5"/>
      <c r="AM26" s="5"/>
    </row>
    <row r="27" spans="2:39" ht="19" thickBot="1" x14ac:dyDescent="0.5">
      <c r="B27" s="14" t="s">
        <v>25</v>
      </c>
      <c r="C27" s="15"/>
      <c r="D27" s="15"/>
      <c r="E27" s="15"/>
      <c r="F27" s="16">
        <f>F24-F25+F26</f>
        <v>83648.467801265346</v>
      </c>
      <c r="O27" s="17"/>
    </row>
    <row r="28" spans="2:39" ht="19" thickTop="1" x14ac:dyDescent="0.45">
      <c r="O28" s="17"/>
    </row>
    <row r="30" spans="2:39" ht="19" thickBot="1" x14ac:dyDescent="0.5">
      <c r="B30" s="19" t="s">
        <v>26</v>
      </c>
      <c r="C30" s="19"/>
      <c r="D30" s="19"/>
      <c r="E30" s="19"/>
      <c r="F30" s="40">
        <v>534</v>
      </c>
      <c r="O30" s="5"/>
      <c r="P30" s="12"/>
      <c r="Q30" s="12"/>
      <c r="R30" s="12"/>
      <c r="S30" s="12"/>
      <c r="T30" s="12"/>
      <c r="U30" s="12"/>
      <c r="V30" s="12"/>
      <c r="W30" s="12"/>
      <c r="X30" s="12"/>
      <c r="Y30" s="12"/>
      <c r="Z30" s="12"/>
    </row>
    <row r="31" spans="2:39" ht="19" thickBot="1" x14ac:dyDescent="0.5">
      <c r="B31" s="20" t="s">
        <v>27</v>
      </c>
      <c r="C31" s="21"/>
      <c r="D31" s="21"/>
      <c r="E31" s="21"/>
      <c r="F31" s="35">
        <f>F27/F30</f>
        <v>156.64507078888641</v>
      </c>
      <c r="O31" s="13"/>
    </row>
    <row r="32" spans="2:39" x14ac:dyDescent="0.45">
      <c r="O32" s="13"/>
    </row>
    <row r="33" spans="2:16" x14ac:dyDescent="0.45">
      <c r="O33" s="13"/>
    </row>
    <row r="34" spans="2:16" x14ac:dyDescent="0.45">
      <c r="O34" s="13"/>
    </row>
    <row r="35" spans="2:16" x14ac:dyDescent="0.45">
      <c r="O35" s="13"/>
    </row>
    <row r="36" spans="2:16" ht="23.5" x14ac:dyDescent="0.55000000000000004">
      <c r="B36" s="32" t="s">
        <v>29</v>
      </c>
      <c r="C36" s="32"/>
      <c r="D36" s="32"/>
      <c r="E36" s="32"/>
      <c r="F36" s="32"/>
      <c r="G36" s="32"/>
      <c r="K36" s="32" t="s">
        <v>30</v>
      </c>
      <c r="L36" s="32"/>
      <c r="M36" s="32"/>
      <c r="N36" s="32"/>
      <c r="O36" s="32"/>
      <c r="P36" s="32"/>
    </row>
    <row r="37" spans="2:16" x14ac:dyDescent="0.45">
      <c r="B37" s="3" t="s">
        <v>21</v>
      </c>
      <c r="D37" s="5">
        <f>SUM(C18:J18)</f>
        <v>26365.292915246093</v>
      </c>
    </row>
    <row r="38" spans="2:16" x14ac:dyDescent="0.45">
      <c r="B38" s="3" t="s">
        <v>22</v>
      </c>
      <c r="D38" s="5">
        <f>J19</f>
        <v>68873.174886019246</v>
      </c>
    </row>
  </sheetData>
  <mergeCells count="9">
    <mergeCell ref="B36:G36"/>
    <mergeCell ref="B30:E30"/>
    <mergeCell ref="B31:E31"/>
    <mergeCell ref="K36:P36"/>
    <mergeCell ref="A1:AA1"/>
    <mergeCell ref="N21:N26"/>
    <mergeCell ref="P19:Z19"/>
    <mergeCell ref="O18:AB18"/>
    <mergeCell ref="H4:J4"/>
  </mergeCells>
  <conditionalFormatting sqref="O20:O26">
    <cfRule type="cellIs" dxfId="6" priority="11" operator="lessThan">
      <formula>0</formula>
    </cfRule>
  </conditionalFormatting>
  <conditionalFormatting sqref="O31:O35">
    <cfRule type="cellIs" dxfId="5" priority="5" operator="lessThan">
      <formula>0</formula>
    </cfRule>
  </conditionalFormatting>
  <conditionalFormatting sqref="P20:Z26">
    <cfRule type="cellIs" dxfId="4" priority="1" operator="greaterThan">
      <formula>400</formula>
    </cfRule>
  </conditionalFormatting>
  <conditionalFormatting sqref="P30:Z30">
    <cfRule type="cellIs" dxfId="3" priority="4" operator="lessThan">
      <formula>0</formula>
    </cfRule>
  </conditionalFormatting>
  <conditionalFormatting sqref="AB21:AB26">
    <cfRule type="cellIs" dxfId="2" priority="8" operator="lessThan">
      <formula>0</formula>
    </cfRule>
  </conditionalFormatting>
  <conditionalFormatting sqref="AC20:AM26">
    <cfRule type="cellIs" dxfId="1" priority="7" operator="lessThan">
      <formula>0</formula>
    </cfRule>
  </conditionalFormatting>
  <conditionalFormatting sqref="AC21:AM26">
    <cfRule type="cellIs" dxfId="0" priority="6" operator="greaterThan">
      <formula>400</formula>
    </cfRule>
  </conditionalFormatting>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a3da618-3001-4f93-87ac-88b66e6d29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4AC36D0D2B254FA215DA00BF7F015F" ma:contentTypeVersion="10" ma:contentTypeDescription="Create a new document." ma:contentTypeScope="" ma:versionID="d364b73b15620ae1d7c46fcd1d0492fe">
  <xsd:schema xmlns:xsd="http://www.w3.org/2001/XMLSchema" xmlns:xs="http://www.w3.org/2001/XMLSchema" xmlns:p="http://schemas.microsoft.com/office/2006/metadata/properties" xmlns:ns3="9a3da618-3001-4f93-87ac-88b66e6d296b" targetNamespace="http://schemas.microsoft.com/office/2006/metadata/properties" ma:root="true" ma:fieldsID="a652e2f6ed610bb55eabe43b1e5a5308" ns3:_="">
    <xsd:import namespace="9a3da618-3001-4f93-87ac-88b66e6d296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da618-3001-4f93-87ac-88b66e6d296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0FEE6-3DCE-424E-947A-259EF86F9D0A}">
  <ds:schemaRefs>
    <ds:schemaRef ds:uri="http://schemas.microsoft.com/office/infopath/2007/PartnerControls"/>
    <ds:schemaRef ds:uri="http://purl.org/dc/elements/1.1/"/>
    <ds:schemaRef ds:uri="http://schemas.openxmlformats.org/package/2006/metadata/core-properties"/>
    <ds:schemaRef ds:uri="http://purl.org/dc/dcmitype/"/>
    <ds:schemaRef ds:uri="9a3da618-3001-4f93-87ac-88b66e6d296b"/>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70003C10-3E41-49E0-8C20-FCE4EB518D13}">
  <ds:schemaRefs>
    <ds:schemaRef ds:uri="http://schemas.microsoft.com/sharepoint/v3/contenttype/forms"/>
  </ds:schemaRefs>
</ds:datastoreItem>
</file>

<file path=customXml/itemProps3.xml><?xml version="1.0" encoding="utf-8"?>
<ds:datastoreItem xmlns:ds="http://schemas.openxmlformats.org/officeDocument/2006/customXml" ds:itemID="{DA25A6ED-F77E-49DC-9F74-4E914B02EB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da618-3001-4f93-87ac-88b66e6d29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Project Summary</vt:lpstr>
      <vt:lpstr>L'OREAL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Thakkar, Tirth Manishbhai</dc:creator>
  <cp:lastModifiedBy>Hasnaa SAMMOUD</cp:lastModifiedBy>
  <dcterms:created xsi:type="dcterms:W3CDTF">2025-09-18T15:53:04Z</dcterms:created>
  <dcterms:modified xsi:type="dcterms:W3CDTF">2026-03-02T20:33:24Z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0x010100E94AC36D0D2B254FA215DA00BF7F015F</vt:lpwstr>
  </property>
</Properties>
</file>