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DE05AB-2D38-4DDA-85E8-29FB068884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 l="1"/>
</calcChain>
</file>

<file path=xl/sharedStrings.xml><?xml version="1.0" encoding="utf-8"?>
<sst xmlns="http://schemas.openxmlformats.org/spreadsheetml/2006/main" count="113" uniqueCount="65">
  <si>
    <t>Jour</t>
  </si>
  <si>
    <t>Etape</t>
  </si>
  <si>
    <t>Tâche</t>
  </si>
  <si>
    <t>Statut</t>
  </si>
  <si>
    <t>Responsable</t>
  </si>
  <si>
    <t>Date prévue</t>
  </si>
  <si>
    <t>Commentaires</t>
  </si>
  <si>
    <t>J+3 à J+4</t>
  </si>
  <si>
    <t>Lettrage</t>
  </si>
  <si>
    <t>Lettrage comptes clients</t>
  </si>
  <si>
    <t>Lettrage comptes fournisseurs</t>
  </si>
  <si>
    <t>TVA</t>
  </si>
  <si>
    <t>Lettrage TVA (44566/44567 vs 44551)</t>
  </si>
  <si>
    <t>Régularisations</t>
  </si>
  <si>
    <t>Enregistrer FNP</t>
  </si>
  <si>
    <t>Enregistrer FAE</t>
  </si>
  <si>
    <t>Charges constatées d’avance (CCA)</t>
  </si>
  <si>
    <t>Produits constatés d’avance (PCA)</t>
  </si>
  <si>
    <t>J+5</t>
  </si>
  <si>
    <t>Provisions</t>
  </si>
  <si>
    <t>Provision congés payés</t>
  </si>
  <si>
    <t>Commissions et primes</t>
  </si>
  <si>
    <t>Dotations</t>
  </si>
  <si>
    <t>Amortissements mensuels</t>
  </si>
  <si>
    <t>Dépréciations</t>
  </si>
  <si>
    <t>Dépréciation créances clients</t>
  </si>
  <si>
    <t>Stocks</t>
  </si>
  <si>
    <t>Variation de stock</t>
  </si>
  <si>
    <t>J+6</t>
  </si>
  <si>
    <t>Contrôles</t>
  </si>
  <si>
    <t>Vérifier balance générale</t>
  </si>
  <si>
    <t>Contrôle comptes de liaison</t>
  </si>
  <si>
    <t>Contrôle TVA</t>
  </si>
  <si>
    <t>Contrôle banques</t>
  </si>
  <si>
    <t>Contrôle clients/fournisseurs</t>
  </si>
  <si>
    <t>J+7</t>
  </si>
  <si>
    <t>Reporting</t>
  </si>
  <si>
    <t>Compte de résultat mensuel</t>
  </si>
  <si>
    <t>Analyse écarts vs budget</t>
  </si>
  <si>
    <t>Note de synthèse direction</t>
  </si>
  <si>
    <t>J+8</t>
  </si>
  <si>
    <t>Clôture</t>
  </si>
  <si>
    <t>Contrepassation écritures</t>
  </si>
  <si>
    <t>Archivage justificatifs</t>
  </si>
  <si>
    <t>Clôturer période</t>
  </si>
  <si>
    <t>Suivi d'avancement</t>
  </si>
  <si>
    <t>Total tâches :</t>
  </si>
  <si>
    <t>Tâches terminées :</t>
  </si>
  <si>
    <t>Progression :</t>
  </si>
  <si>
    <t>Fait</t>
  </si>
  <si>
    <t>J+1 à J+2</t>
  </si>
  <si>
    <t>Banque</t>
  </si>
  <si>
    <t>Saisir ou importer les relevés bancaires du mois écoulé</t>
  </si>
  <si>
    <t>Rapprochement bancaire partiel (pointer opérations importantes)</t>
  </si>
  <si>
    <t>Achats/Ventes</t>
  </si>
  <si>
    <t>Saisir factures d’achat manquantes</t>
  </si>
  <si>
    <t>Saisir factures de vente manquantes</t>
  </si>
  <si>
    <t>Avoirs</t>
  </si>
  <si>
    <t>Saisir avoirs clients</t>
  </si>
  <si>
    <t>Saisir avoirs fournisseurs</t>
  </si>
  <si>
    <t>Paie</t>
  </si>
  <si>
    <t>Intégrer la paie du mois</t>
  </si>
  <si>
    <t>Enregistrer provision de paie si bulletin non disponible</t>
  </si>
  <si>
    <t>Vérifier TVA collectée/déductible vs écritures</t>
  </si>
  <si>
    <t>Rapprochement avec déclaration CA3/CA12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</si>
</sst>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11</xdr:row>
          <xdr:rowOff>25400</xdr:rowOff>
        </xdr:from>
        <xdr:to>
          <xdr:col>13</xdr:col>
          <xdr:colOff>317500</xdr:colOff>
          <xdr:row>12</xdr:row>
          <xdr:rowOff>114300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C'est bon</a:t>
              </a:r>
            </a:p>
            <a:p>
              <a:pPr algn="ctr" rtl="0">
                <a:defRPr sz="1000"/>
              </a:pPr>
              <a:endParaRPr lang="fr-FR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552450</xdr:colOff>
          <xdr:row>14</xdr:row>
          <xdr:rowOff>6350</xdr:rowOff>
        </xdr:from>
        <xdr:to>
          <xdr:col>9</xdr:col>
          <xdr:colOff>584200</xdr:colOff>
          <xdr:row>16</xdr:row>
          <xdr:rowOff>101600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endParaRPr lang="fr-FR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OK</a:t>
              </a:r>
            </a:p>
            <a:p>
              <a:pPr algn="ctr" rtl="0">
                <a:defRPr sz="1000"/>
              </a:pPr>
              <a:endParaRPr lang="fr-FR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215900</xdr:colOff>
          <xdr:row>1</xdr:row>
          <xdr:rowOff>38100</xdr:rowOff>
        </xdr:from>
        <xdr:to>
          <xdr:col>9</xdr:col>
          <xdr:colOff>501650</xdr:colOff>
          <xdr:row>2</xdr:row>
          <xdr:rowOff>69850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Marquer</a:t>
              </a:r>
            </a:p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Marquer</a:t>
              </a:r>
            </a:p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Marquer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49498-DC5D-4B09-958B-B1D210642403}" name="Tableau2" displayName="Tableau2" ref="A1:G34" totalsRowShown="0">
  <autoFilter ref="A1:G34" xr:uid="{30549498-DC5D-4B09-958B-B1D210642403}">
    <filterColumn colId="0">
      <filters>
        <filter val="J+1 à J+2"/>
      </filters>
    </filterColumn>
  </autoFilter>
  <tableColumns count="7">
    <tableColumn id="1" xr3:uid="{CF5FDC49-4D8B-46F5-9BD3-5EE890E07022}" name="Jour"/>
    <tableColumn id="2" xr3:uid="{6C2A426F-E05C-4805-B174-C34E84697322}" name="Etape"/>
    <tableColumn id="3" xr3:uid="{7810D35E-8D09-4746-A27B-E0F40099998A}" name="Tâche"/>
    <tableColumn id="4" xr3:uid="{120B0F86-E178-4AA3-890C-300C6AB37A4B}" name="Statut"/>
    <tableColumn id="5" xr3:uid="{F71C88F2-CA40-4397-8C5B-59C69D1906A2}" name="Responsable"/>
    <tableColumn id="6" xr3:uid="{886C4E56-FCF3-44E7-8C3D-7EFA1D99362D}" name="Date prévue"/>
    <tableColumn id="7" xr3:uid="{7ACC6B4A-9402-4626-93E3-D52FE4262816}" name="Commentai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34"/>
  <sheetViews>
    <sheetView tabSelected="1" topLeftCell="C1" workbookViewId="0">
      <selection activeCell="D8" sqref="D8"/>
    </sheetView>
  </sheetViews>
  <sheetFormatPr baseColWidth="10" defaultColWidth="8.7265625" defaultRowHeight="14.5" x14ac:dyDescent="0.35"/>
  <cols>
    <col min="2" max="2" width="24.7265625" customWidth="1"/>
    <col min="3" max="3" width="59.6328125" customWidth="1"/>
    <col min="4" max="4" width="25.453125" customWidth="1"/>
    <col min="5" max="5" width="13.36328125" customWidth="1"/>
    <col min="6" max="6" width="13.08984375" customWidth="1"/>
    <col min="7" max="7" width="15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50</v>
      </c>
      <c r="B2" t="s">
        <v>51</v>
      </c>
      <c r="C2" t="s">
        <v>52</v>
      </c>
      <c r="D2" t="s">
        <v>49</v>
      </c>
    </row>
    <row r="3" spans="1:7" x14ac:dyDescent="0.35">
      <c r="A3" t="s">
        <v>50</v>
      </c>
      <c r="B3" t="s">
        <v>51</v>
      </c>
      <c r="C3" t="s">
        <v>53</v>
      </c>
    </row>
    <row r="4" spans="1:7" x14ac:dyDescent="0.35">
      <c r="A4" t="s">
        <v>50</v>
      </c>
      <c r="B4" t="s">
        <v>54</v>
      </c>
      <c r="C4" t="s">
        <v>55</v>
      </c>
      <c r="D4" t="s">
        <v>49</v>
      </c>
    </row>
    <row r="5" spans="1:7" x14ac:dyDescent="0.35">
      <c r="A5" t="s">
        <v>50</v>
      </c>
      <c r="B5" t="s">
        <v>54</v>
      </c>
      <c r="C5" t="s">
        <v>56</v>
      </c>
    </row>
    <row r="6" spans="1:7" x14ac:dyDescent="0.35">
      <c r="A6" t="s">
        <v>50</v>
      </c>
      <c r="B6" t="s">
        <v>57</v>
      </c>
      <c r="C6" t="s">
        <v>58</v>
      </c>
    </row>
    <row r="7" spans="1:7" x14ac:dyDescent="0.35">
      <c r="A7" t="s">
        <v>50</v>
      </c>
      <c r="B7" t="s">
        <v>57</v>
      </c>
      <c r="C7" t="s">
        <v>59</v>
      </c>
    </row>
    <row r="8" spans="1:7" x14ac:dyDescent="0.35">
      <c r="A8" t="s">
        <v>50</v>
      </c>
      <c r="B8" t="s">
        <v>60</v>
      </c>
      <c r="C8" t="s">
        <v>61</v>
      </c>
      <c r="D8" t="s">
        <v>49</v>
      </c>
    </row>
    <row r="9" spans="1:7" x14ac:dyDescent="0.35">
      <c r="A9" t="s">
        <v>50</v>
      </c>
      <c r="B9" t="s">
        <v>60</v>
      </c>
      <c r="C9" t="s">
        <v>62</v>
      </c>
    </row>
    <row r="10" spans="1:7" x14ac:dyDescent="0.35">
      <c r="A10" t="s">
        <v>50</v>
      </c>
      <c r="B10" t="s">
        <v>11</v>
      </c>
      <c r="C10" t="s">
        <v>63</v>
      </c>
    </row>
    <row r="11" spans="1:7" x14ac:dyDescent="0.35">
      <c r="A11" t="s">
        <v>50</v>
      </c>
      <c r="B11" t="s">
        <v>11</v>
      </c>
      <c r="C11" t="s">
        <v>64</v>
      </c>
    </row>
    <row r="12" spans="1:7" hidden="1" x14ac:dyDescent="0.35">
      <c r="A12" t="s">
        <v>7</v>
      </c>
      <c r="B12" t="s">
        <v>8</v>
      </c>
      <c r="C12" t="s">
        <v>9</v>
      </c>
    </row>
    <row r="13" spans="1:7" hidden="1" x14ac:dyDescent="0.35">
      <c r="A13" t="s">
        <v>7</v>
      </c>
      <c r="B13" t="s">
        <v>8</v>
      </c>
      <c r="C13" t="s">
        <v>10</v>
      </c>
    </row>
    <row r="14" spans="1:7" hidden="1" x14ac:dyDescent="0.35">
      <c r="A14" t="s">
        <v>7</v>
      </c>
      <c r="B14" t="s">
        <v>11</v>
      </c>
      <c r="C14" t="s">
        <v>12</v>
      </c>
    </row>
    <row r="15" spans="1:7" hidden="1" x14ac:dyDescent="0.35">
      <c r="A15" t="s">
        <v>7</v>
      </c>
      <c r="B15" t="s">
        <v>13</v>
      </c>
      <c r="C15" t="s">
        <v>14</v>
      </c>
    </row>
    <row r="16" spans="1:7" hidden="1" x14ac:dyDescent="0.35">
      <c r="A16" t="s">
        <v>7</v>
      </c>
      <c r="B16" t="s">
        <v>13</v>
      </c>
      <c r="C16" t="s">
        <v>15</v>
      </c>
    </row>
    <row r="17" spans="1:3" hidden="1" x14ac:dyDescent="0.35">
      <c r="A17" t="s">
        <v>7</v>
      </c>
      <c r="B17" t="s">
        <v>13</v>
      </c>
      <c r="C17" t="s">
        <v>16</v>
      </c>
    </row>
    <row r="18" spans="1:3" hidden="1" x14ac:dyDescent="0.35">
      <c r="A18" t="s">
        <v>7</v>
      </c>
      <c r="B18" t="s">
        <v>13</v>
      </c>
      <c r="C18" t="s">
        <v>17</v>
      </c>
    </row>
    <row r="19" spans="1:3" hidden="1" x14ac:dyDescent="0.35">
      <c r="A19" t="s">
        <v>18</v>
      </c>
      <c r="B19" t="s">
        <v>19</v>
      </c>
      <c r="C19" t="s">
        <v>20</v>
      </c>
    </row>
    <row r="20" spans="1:3" hidden="1" x14ac:dyDescent="0.35">
      <c r="A20" t="s">
        <v>18</v>
      </c>
      <c r="B20" t="s">
        <v>19</v>
      </c>
      <c r="C20" t="s">
        <v>21</v>
      </c>
    </row>
    <row r="21" spans="1:3" hidden="1" x14ac:dyDescent="0.35">
      <c r="A21" t="s">
        <v>18</v>
      </c>
      <c r="B21" t="s">
        <v>22</v>
      </c>
      <c r="C21" t="s">
        <v>23</v>
      </c>
    </row>
    <row r="22" spans="1:3" hidden="1" x14ac:dyDescent="0.35">
      <c r="A22" t="s">
        <v>18</v>
      </c>
      <c r="B22" t="s">
        <v>24</v>
      </c>
      <c r="C22" t="s">
        <v>25</v>
      </c>
    </row>
    <row r="23" spans="1:3" hidden="1" x14ac:dyDescent="0.35">
      <c r="A23" t="s">
        <v>18</v>
      </c>
      <c r="B23" t="s">
        <v>26</v>
      </c>
      <c r="C23" t="s">
        <v>27</v>
      </c>
    </row>
    <row r="24" spans="1:3" hidden="1" x14ac:dyDescent="0.35">
      <c r="A24" t="s">
        <v>28</v>
      </c>
      <c r="B24" t="s">
        <v>29</v>
      </c>
      <c r="C24" t="s">
        <v>30</v>
      </c>
    </row>
    <row r="25" spans="1:3" hidden="1" x14ac:dyDescent="0.35">
      <c r="A25" t="s">
        <v>28</v>
      </c>
      <c r="B25" t="s">
        <v>29</v>
      </c>
      <c r="C25" t="s">
        <v>31</v>
      </c>
    </row>
    <row r="26" spans="1:3" hidden="1" x14ac:dyDescent="0.35">
      <c r="A26" t="s">
        <v>28</v>
      </c>
      <c r="B26" t="s">
        <v>29</v>
      </c>
      <c r="C26" t="s">
        <v>32</v>
      </c>
    </row>
    <row r="27" spans="1:3" hidden="1" x14ac:dyDescent="0.35">
      <c r="A27" t="s">
        <v>28</v>
      </c>
      <c r="B27" t="s">
        <v>29</v>
      </c>
      <c r="C27" t="s">
        <v>33</v>
      </c>
    </row>
    <row r="28" spans="1:3" hidden="1" x14ac:dyDescent="0.35">
      <c r="A28" t="s">
        <v>28</v>
      </c>
      <c r="B28" t="s">
        <v>29</v>
      </c>
      <c r="C28" t="s">
        <v>34</v>
      </c>
    </row>
    <row r="29" spans="1:3" hidden="1" x14ac:dyDescent="0.35">
      <c r="A29" t="s">
        <v>35</v>
      </c>
      <c r="B29" t="s">
        <v>36</v>
      </c>
      <c r="C29" t="s">
        <v>37</v>
      </c>
    </row>
    <row r="30" spans="1:3" hidden="1" x14ac:dyDescent="0.35">
      <c r="A30" t="s">
        <v>35</v>
      </c>
      <c r="B30" t="s">
        <v>36</v>
      </c>
      <c r="C30" t="s">
        <v>38</v>
      </c>
    </row>
    <row r="31" spans="1:3" hidden="1" x14ac:dyDescent="0.35">
      <c r="A31" t="s">
        <v>35</v>
      </c>
      <c r="B31" t="s">
        <v>36</v>
      </c>
      <c r="C31" t="s">
        <v>39</v>
      </c>
    </row>
    <row r="32" spans="1:3" hidden="1" x14ac:dyDescent="0.35">
      <c r="A32" t="s">
        <v>40</v>
      </c>
      <c r="B32" t="s">
        <v>41</v>
      </c>
      <c r="C32" t="s">
        <v>42</v>
      </c>
    </row>
    <row r="33" spans="1:3" hidden="1" x14ac:dyDescent="0.35">
      <c r="A33" t="s">
        <v>40</v>
      </c>
      <c r="B33" t="s">
        <v>41</v>
      </c>
      <c r="C33" t="s">
        <v>43</v>
      </c>
    </row>
    <row r="34" spans="1:3" hidden="1" x14ac:dyDescent="0.35">
      <c r="A34" t="s">
        <v>40</v>
      </c>
      <c r="B34" t="s">
        <v>41</v>
      </c>
      <c r="C34" t="s">
        <v>44</v>
      </c>
    </row>
  </sheetData>
  <dataValidations count="1">
    <dataValidation type="list" allowBlank="1" sqref="D12:D110" xr:uid="{00000000-0002-0000-0000-000000000000}">
      <formula1>"À faire,En cours,Fait"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MarquerFait">
                <anchor moveWithCells="1" sizeWithCells="1">
                  <from>
                    <xdr:col>12</xdr:col>
                    <xdr:colOff>19050</xdr:colOff>
                    <xdr:row>11</xdr:row>
                    <xdr:rowOff>25400</xdr:rowOff>
                  </from>
                  <to>
                    <xdr:col>13</xdr:col>
                    <xdr:colOff>317500</xdr:colOff>
                    <xdr:row>12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Button 3">
              <controlPr defaultSize="0" print="0" autoFill="0" autoPict="0" macro="[0]!MarquerFait">
                <anchor moveWithCells="1" sizeWithCells="1">
                  <from>
                    <xdr:col>8</xdr:col>
                    <xdr:colOff>552450</xdr:colOff>
                    <xdr:row>14</xdr:row>
                    <xdr:rowOff>6350</xdr:rowOff>
                  </from>
                  <to>
                    <xdr:col>9</xdr:col>
                    <xdr:colOff>584200</xdr:colOff>
                    <xdr:row>16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Button 4">
              <controlPr defaultSize="0" print="0" autoFill="0" autoPict="0" macro="[0]!MarquerFait">
                <anchor moveWithCells="1" sizeWithCells="1">
                  <from>
                    <xdr:col>8</xdr:col>
                    <xdr:colOff>215900</xdr:colOff>
                    <xdr:row>1</xdr:row>
                    <xdr:rowOff>38100</xdr:rowOff>
                  </from>
                  <to>
                    <xdr:col>9</xdr:col>
                    <xdr:colOff>501650</xdr:colOff>
                    <xdr:row>2</xdr:row>
                    <xdr:rowOff>69850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B5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21.6328125" customWidth="1"/>
    <col min="2" max="2" width="22.6328125" customWidth="1"/>
  </cols>
  <sheetData>
    <row r="1" spans="1:2" x14ac:dyDescent="0.35">
      <c r="A1" t="s">
        <v>45</v>
      </c>
    </row>
    <row r="3" spans="1:2" x14ac:dyDescent="0.35">
      <c r="A3" t="s">
        <v>46</v>
      </c>
      <c r="B3">
        <f>COUNTA(Checklist!B12:B110)</f>
        <v>23</v>
      </c>
    </row>
    <row r="4" spans="1:2" x14ac:dyDescent="0.35">
      <c r="A4" t="s">
        <v>47</v>
      </c>
      <c r="B4">
        <f>COUNTIF(Checklist!D:D,"Fait")</f>
        <v>3</v>
      </c>
    </row>
    <row r="5" spans="1:2" x14ac:dyDescent="0.35">
      <c r="A5" t="s">
        <v>48</v>
      </c>
      <c r="B5">
        <f>IF(B3=0,0,B4/B3)</f>
        <v>0.13043478260869565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Hasnaa SAMMOUD</cp:lastModifiedBy>
  <dcterms:created xsi:type="dcterms:W3CDTF">2026-02-14T14:00:13Z</dcterms:created>
  <dcterms:modified xsi:type="dcterms:W3CDTF">2026-02-14T19:47:18Z</dcterms:modified>
</cp:coreProperties>
</file>