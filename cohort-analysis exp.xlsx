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775E6E4-6357-403D-A760-85222CC70BE3}" xr6:coauthVersionLast="47" xr6:coauthVersionMax="47" xr10:uidLastSave="{00000000-0000-0000-0000-000000000000}"/>
  <bookViews>
    <workbookView xWindow="-110" yWindow="-110" windowWidth="19420" windowHeight="10300" xr2:uid="{08D4D7CA-4297-40F4-89A7-036B83378186}"/>
  </bookViews>
  <sheets>
    <sheet name="Dashboard" sheetId="1" r:id="rId1"/>
    <sheet name="Cohort Analysis" sheetId="2" r:id="rId2"/>
    <sheet name="MRR Cohort" sheetId="4" r:id="rId3"/>
    <sheet name="MRR Waterfall" sheetId="3" r:id="rId4"/>
  </sheets>
  <definedNames>
    <definedName name="AL">'MRR Cohort'!$C$2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B39" i="4"/>
  <c r="C39" i="4"/>
  <c r="D39" i="4"/>
  <c r="E40" i="4" s="1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8" i="4"/>
  <c r="AM38" i="4"/>
  <c r="C38" i="4"/>
  <c r="AN37" i="4"/>
  <c r="AL37" i="4"/>
  <c r="AM37" i="4"/>
  <c r="C37" i="4"/>
  <c r="AN36" i="4"/>
  <c r="AK36" i="4"/>
  <c r="AL36" i="4"/>
  <c r="AM36" i="4"/>
  <c r="C36" i="4"/>
  <c r="AN35" i="4"/>
  <c r="AJ35" i="4"/>
  <c r="AK35" i="4"/>
  <c r="AL35" i="4"/>
  <c r="AM35" i="4"/>
  <c r="C35" i="4"/>
  <c r="AN34" i="4"/>
  <c r="AI34" i="4"/>
  <c r="AJ34" i="4"/>
  <c r="AK34" i="4"/>
  <c r="AL34" i="4"/>
  <c r="AM34" i="4"/>
  <c r="C34" i="4"/>
  <c r="AN33" i="4"/>
  <c r="AH33" i="4"/>
  <c r="AI33" i="4"/>
  <c r="AJ33" i="4"/>
  <c r="AK33" i="4"/>
  <c r="AL33" i="4"/>
  <c r="AM33" i="4"/>
  <c r="C33" i="4"/>
  <c r="AN32" i="4"/>
  <c r="AG32" i="4"/>
  <c r="AH32" i="4"/>
  <c r="AI32" i="4"/>
  <c r="AJ32" i="4"/>
  <c r="AK32" i="4"/>
  <c r="AL32" i="4"/>
  <c r="AM32" i="4"/>
  <c r="C32" i="4"/>
  <c r="AN31" i="4"/>
  <c r="AF31" i="4"/>
  <c r="AG31" i="4"/>
  <c r="AH31" i="4"/>
  <c r="AI31" i="4"/>
  <c r="AJ31" i="4"/>
  <c r="AK31" i="4"/>
  <c r="AL31" i="4"/>
  <c r="AM31" i="4"/>
  <c r="C31" i="4"/>
  <c r="AN30" i="4"/>
  <c r="AE30" i="4"/>
  <c r="AF30" i="4"/>
  <c r="AG30" i="4"/>
  <c r="AH30" i="4"/>
  <c r="AI30" i="4"/>
  <c r="AJ30" i="4"/>
  <c r="AK30" i="4"/>
  <c r="AL30" i="4"/>
  <c r="AM30" i="4"/>
  <c r="C30" i="4"/>
  <c r="AN29" i="4"/>
  <c r="AD29" i="4"/>
  <c r="AE29" i="4"/>
  <c r="AF29" i="4"/>
  <c r="AG29" i="4"/>
  <c r="AH29" i="4"/>
  <c r="AI29" i="4"/>
  <c r="AJ29" i="4"/>
  <c r="AK29" i="4"/>
  <c r="AL29" i="4"/>
  <c r="AM29" i="4"/>
  <c r="C29" i="4"/>
  <c r="AN28" i="4"/>
  <c r="AC28" i="4"/>
  <c r="AD28" i="4"/>
  <c r="AE28" i="4"/>
  <c r="AF28" i="4"/>
  <c r="AG28" i="4"/>
  <c r="AH28" i="4"/>
  <c r="AI28" i="4"/>
  <c r="AJ28" i="4"/>
  <c r="AK28" i="4"/>
  <c r="AL28" i="4"/>
  <c r="AM28" i="4"/>
  <c r="C28" i="4"/>
  <c r="AN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C27" i="4"/>
  <c r="AN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C26" i="4"/>
  <c r="AN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C25" i="4"/>
  <c r="AN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C24" i="4"/>
  <c r="AN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C23" i="4"/>
  <c r="AN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C22" i="4"/>
  <c r="AN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C21" i="4"/>
  <c r="AN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C20" i="4"/>
  <c r="AN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C19" i="4"/>
  <c r="AN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C18" i="4"/>
  <c r="AN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C17" i="4"/>
  <c r="AN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C16" i="4"/>
  <c r="AN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C15" i="4"/>
  <c r="A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C14" i="4"/>
  <c r="AN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C13" i="4"/>
  <c r="AN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C12" i="4"/>
  <c r="AN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C11" i="4"/>
  <c r="AN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C10" i="4"/>
  <c r="AN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C9" i="4"/>
  <c r="AN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C8" i="4"/>
  <c r="AN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C7" i="4"/>
  <c r="AN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C6" i="4"/>
  <c r="AN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C5" i="4"/>
  <c r="AN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C4" i="4"/>
  <c r="AN3" i="4"/>
  <c r="AN39" i="4" s="1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C3" i="4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G18" i="1"/>
  <c r="C18" i="1"/>
  <c r="A18" i="1"/>
  <c r="G38" i="3"/>
  <c r="F38" i="3"/>
  <c r="E38" i="3"/>
  <c r="D38" i="3"/>
  <c r="C38" i="3"/>
  <c r="B38" i="3"/>
  <c r="B2" i="3" a="1"/>
  <c r="B2" i="3"/>
  <c r="C2" i="3"/>
  <c r="F2" i="3"/>
  <c r="G2" i="3" a="1"/>
  <c r="G2" i="3"/>
  <c r="B3" i="3" a="1"/>
  <c r="B3" i="3"/>
  <c r="C3" i="3"/>
  <c r="D3" i="3" a="1"/>
  <c r="D3" i="3"/>
  <c r="E3" i="3" a="1"/>
  <c r="E3" i="3" s="1"/>
  <c r="G3" i="3" a="1"/>
  <c r="G3" i="3"/>
  <c r="B4" i="3" a="1"/>
  <c r="B4" i="3"/>
  <c r="C4" i="3"/>
  <c r="F4" i="3" s="1"/>
  <c r="D4" i="3" a="1"/>
  <c r="D4" i="3"/>
  <c r="E4" i="3" a="1"/>
  <c r="E4" i="3"/>
  <c r="G4" i="3" a="1"/>
  <c r="G4" i="3"/>
  <c r="B5" i="3" a="1"/>
  <c r="B5" i="3"/>
  <c r="C5" i="3"/>
  <c r="F5" i="3" s="1"/>
  <c r="D5" i="3" a="1"/>
  <c r="D5" i="3"/>
  <c r="E5" i="3" a="1"/>
  <c r="E5" i="3"/>
  <c r="G5" i="3" a="1"/>
  <c r="G5" i="3"/>
  <c r="B6" i="3" a="1"/>
  <c r="B6" i="3"/>
  <c r="C6" i="3"/>
  <c r="D6" i="3" a="1"/>
  <c r="D6" i="3"/>
  <c r="E6" i="3" a="1"/>
  <c r="E6" i="3"/>
  <c r="F6" i="3"/>
  <c r="G6" i="3" a="1"/>
  <c r="G6" i="3" s="1"/>
  <c r="B7" i="3" a="1"/>
  <c r="B7" i="3"/>
  <c r="C7" i="3"/>
  <c r="D7" i="3" a="1"/>
  <c r="D7" i="3"/>
  <c r="E7" i="3" a="1"/>
  <c r="E7" i="3"/>
  <c r="F7" i="3"/>
  <c r="G7" i="3" a="1"/>
  <c r="G7" i="3"/>
  <c r="B8" i="3" a="1"/>
  <c r="B8" i="3" s="1"/>
  <c r="C8" i="3"/>
  <c r="D8" i="3" a="1"/>
  <c r="D8" i="3" s="1"/>
  <c r="E8" i="3" a="1"/>
  <c r="E8" i="3"/>
  <c r="G8" i="3" a="1"/>
  <c r="G8" i="3"/>
  <c r="B9" i="3" a="1"/>
  <c r="B9" i="3"/>
  <c r="C9" i="3"/>
  <c r="D9" i="3" a="1"/>
  <c r="D9" i="3"/>
  <c r="E9" i="3" a="1"/>
  <c r="E9" i="3" s="1"/>
  <c r="G9" i="3" a="1"/>
  <c r="G9" i="3"/>
  <c r="B10" i="3" a="1"/>
  <c r="B10" i="3"/>
  <c r="C10" i="3"/>
  <c r="F10" i="3" s="1"/>
  <c r="D10" i="3" a="1"/>
  <c r="D10" i="3"/>
  <c r="E10" i="3" a="1"/>
  <c r="E10" i="3"/>
  <c r="G10" i="3" a="1"/>
  <c r="G10" i="3"/>
  <c r="B11" i="3" a="1"/>
  <c r="B11" i="3"/>
  <c r="C11" i="3"/>
  <c r="F11" i="3" s="1"/>
  <c r="D11" i="3" a="1"/>
  <c r="D11" i="3"/>
  <c r="E11" i="3" a="1"/>
  <c r="E11" i="3"/>
  <c r="G11" i="3" a="1"/>
  <c r="G11" i="3"/>
  <c r="B12" i="3" a="1"/>
  <c r="B12" i="3"/>
  <c r="C12" i="3"/>
  <c r="D12" i="3" a="1"/>
  <c r="D12" i="3"/>
  <c r="E12" i="3" a="1"/>
  <c r="E12" i="3"/>
  <c r="F12" i="3"/>
  <c r="G12" i="3" a="1"/>
  <c r="G12" i="3" s="1"/>
  <c r="B13" i="3" a="1"/>
  <c r="B13" i="3"/>
  <c r="C13" i="3"/>
  <c r="D13" i="3" a="1"/>
  <c r="D13" i="3"/>
  <c r="E13" i="3" a="1"/>
  <c r="E13" i="3"/>
  <c r="F13" i="3"/>
  <c r="G13" i="3" a="1"/>
  <c r="G13" i="3"/>
  <c r="B14" i="3" a="1"/>
  <c r="B14" i="3" s="1"/>
  <c r="C14" i="3"/>
  <c r="D14" i="3" a="1"/>
  <c r="D14" i="3" s="1"/>
  <c r="E14" i="3" a="1"/>
  <c r="E14" i="3"/>
  <c r="G14" i="3" a="1"/>
  <c r="G14" i="3"/>
  <c r="B15" i="3" a="1"/>
  <c r="B15" i="3"/>
  <c r="C15" i="3"/>
  <c r="D15" i="3" a="1"/>
  <c r="D15" i="3"/>
  <c r="E15" i="3" a="1"/>
  <c r="E15" i="3" s="1"/>
  <c r="G15" i="3" a="1"/>
  <c r="G15" i="3"/>
  <c r="B16" i="3" a="1"/>
  <c r="B16" i="3"/>
  <c r="C16" i="3"/>
  <c r="F16" i="3" s="1"/>
  <c r="D16" i="3" a="1"/>
  <c r="D16" i="3"/>
  <c r="E16" i="3" a="1"/>
  <c r="E16" i="3"/>
  <c r="G16" i="3" a="1"/>
  <c r="G16" i="3"/>
  <c r="B17" i="3" a="1"/>
  <c r="B17" i="3"/>
  <c r="C17" i="3"/>
  <c r="F17" i="3" s="1"/>
  <c r="D17" i="3" a="1"/>
  <c r="D17" i="3"/>
  <c r="E17" i="3" a="1"/>
  <c r="E17" i="3"/>
  <c r="G17" i="3" a="1"/>
  <c r="G17" i="3"/>
  <c r="B18" i="3" a="1"/>
  <c r="B18" i="3"/>
  <c r="C18" i="3"/>
  <c r="D18" i="3" a="1"/>
  <c r="D18" i="3"/>
  <c r="E18" i="3" a="1"/>
  <c r="E18" i="3"/>
  <c r="F18" i="3"/>
  <c r="G18" i="3" a="1"/>
  <c r="G18" i="3" s="1"/>
  <c r="B19" i="3" a="1"/>
  <c r="B19" i="3"/>
  <c r="C19" i="3"/>
  <c r="D19" i="3" a="1"/>
  <c r="D19" i="3"/>
  <c r="E19" i="3" a="1"/>
  <c r="E19" i="3"/>
  <c r="F19" i="3"/>
  <c r="G19" i="3" a="1"/>
  <c r="G19" i="3"/>
  <c r="B20" i="3" a="1"/>
  <c r="B20" i="3" s="1"/>
  <c r="C20" i="3"/>
  <c r="D20" i="3" a="1"/>
  <c r="D20" i="3" s="1"/>
  <c r="E20" i="3" a="1"/>
  <c r="E20" i="3"/>
  <c r="G20" i="3" a="1"/>
  <c r="G20" i="3"/>
  <c r="B21" i="3" a="1"/>
  <c r="B21" i="3"/>
  <c r="C21" i="3"/>
  <c r="D21" i="3" a="1"/>
  <c r="D21" i="3"/>
  <c r="E21" i="3" a="1"/>
  <c r="E21" i="3" s="1"/>
  <c r="G21" i="3" a="1"/>
  <c r="G21" i="3"/>
  <c r="B22" i="3" a="1"/>
  <c r="B22" i="3"/>
  <c r="C22" i="3"/>
  <c r="F22" i="3" s="1"/>
  <c r="D22" i="3" a="1"/>
  <c r="D22" i="3"/>
  <c r="E22" i="3" a="1"/>
  <c r="E22" i="3"/>
  <c r="G22" i="3" a="1"/>
  <c r="G22" i="3"/>
  <c r="B23" i="3" a="1"/>
  <c r="B23" i="3"/>
  <c r="C23" i="3"/>
  <c r="F23" i="3" s="1"/>
  <c r="D23" i="3" a="1"/>
  <c r="D23" i="3"/>
  <c r="E23" i="3" a="1"/>
  <c r="E23" i="3"/>
  <c r="G23" i="3" a="1"/>
  <c r="G23" i="3"/>
  <c r="B24" i="3" a="1"/>
  <c r="B24" i="3"/>
  <c r="C24" i="3"/>
  <c r="D24" i="3" a="1"/>
  <c r="D24" i="3"/>
  <c r="E24" i="3" a="1"/>
  <c r="E24" i="3"/>
  <c r="F24" i="3"/>
  <c r="G24" i="3" a="1"/>
  <c r="G24" i="3" s="1"/>
  <c r="B25" i="3" a="1"/>
  <c r="B25" i="3"/>
  <c r="C25" i="3"/>
  <c r="D25" i="3" a="1"/>
  <c r="D25" i="3"/>
  <c r="E25" i="3" a="1"/>
  <c r="E25" i="3"/>
  <c r="F25" i="3"/>
  <c r="G25" i="3" a="1"/>
  <c r="G25" i="3"/>
  <c r="B26" i="3" a="1"/>
  <c r="B26" i="3" s="1"/>
  <c r="C26" i="3"/>
  <c r="D26" i="3" a="1"/>
  <c r="D26" i="3" s="1"/>
  <c r="E26" i="3" a="1"/>
  <c r="E26" i="3"/>
  <c r="G26" i="3" a="1"/>
  <c r="G26" i="3"/>
  <c r="B27" i="3" a="1"/>
  <c r="B27" i="3"/>
  <c r="C27" i="3"/>
  <c r="D27" i="3" a="1"/>
  <c r="D27" i="3"/>
  <c r="E27" i="3" a="1"/>
  <c r="E27" i="3" s="1"/>
  <c r="G27" i="3" a="1"/>
  <c r="G27" i="3"/>
  <c r="B28" i="3" a="1"/>
  <c r="B28" i="3"/>
  <c r="C28" i="3"/>
  <c r="F28" i="3" s="1"/>
  <c r="D28" i="3" a="1"/>
  <c r="D28" i="3"/>
  <c r="E28" i="3" a="1"/>
  <c r="E28" i="3"/>
  <c r="G28" i="3" a="1"/>
  <c r="G28" i="3"/>
  <c r="B29" i="3" a="1"/>
  <c r="B29" i="3"/>
  <c r="C29" i="3"/>
  <c r="F29" i="3" s="1"/>
  <c r="D29" i="3" a="1"/>
  <c r="D29" i="3"/>
  <c r="E29" i="3" a="1"/>
  <c r="E29" i="3"/>
  <c r="G29" i="3" a="1"/>
  <c r="G29" i="3"/>
  <c r="B30" i="3" a="1"/>
  <c r="B30" i="3"/>
  <c r="C30" i="3"/>
  <c r="D30" i="3" a="1"/>
  <c r="D30" i="3"/>
  <c r="E30" i="3" a="1"/>
  <c r="E30" i="3"/>
  <c r="F30" i="3"/>
  <c r="G30" i="3" a="1"/>
  <c r="G30" i="3" s="1"/>
  <c r="B31" i="3" a="1"/>
  <c r="B31" i="3"/>
  <c r="C31" i="3"/>
  <c r="D31" i="3" a="1"/>
  <c r="D31" i="3"/>
  <c r="E31" i="3" a="1"/>
  <c r="E31" i="3"/>
  <c r="F31" i="3"/>
  <c r="G31" i="3" a="1"/>
  <c r="G31" i="3"/>
  <c r="B32" i="3" a="1"/>
  <c r="B32" i="3" s="1"/>
  <c r="C32" i="3"/>
  <c r="D32" i="3" a="1"/>
  <c r="D32" i="3" s="1"/>
  <c r="E32" i="3" a="1"/>
  <c r="E32" i="3"/>
  <c r="G32" i="3" a="1"/>
  <c r="G32" i="3"/>
  <c r="B33" i="3" a="1"/>
  <c r="B33" i="3"/>
  <c r="C33" i="3"/>
  <c r="D33" i="3" a="1"/>
  <c r="D33" i="3"/>
  <c r="E33" i="3" a="1"/>
  <c r="E33" i="3" s="1"/>
  <c r="G33" i="3" a="1"/>
  <c r="G33" i="3"/>
  <c r="B34" i="3" a="1"/>
  <c r="B34" i="3"/>
  <c r="C34" i="3"/>
  <c r="F34" i="3" s="1"/>
  <c r="D34" i="3" a="1"/>
  <c r="D34" i="3"/>
  <c r="E34" i="3" a="1"/>
  <c r="E34" i="3"/>
  <c r="G34" i="3" a="1"/>
  <c r="G34" i="3"/>
  <c r="B35" i="3" a="1"/>
  <c r="B35" i="3"/>
  <c r="C35" i="3"/>
  <c r="F35" i="3" s="1"/>
  <c r="D35" i="3" a="1"/>
  <c r="D35" i="3"/>
  <c r="E35" i="3" a="1"/>
  <c r="E35" i="3"/>
  <c r="G35" i="3" a="1"/>
  <c r="G35" i="3"/>
  <c r="B36" i="3" a="1"/>
  <c r="B36" i="3"/>
  <c r="C36" i="3"/>
  <c r="D36" i="3" a="1"/>
  <c r="D36" i="3"/>
  <c r="E36" i="3" a="1"/>
  <c r="E36" i="3"/>
  <c r="F36" i="3"/>
  <c r="G36" i="3" a="1"/>
  <c r="G36" i="3" s="1"/>
  <c r="B37" i="3" a="1"/>
  <c r="B37" i="3"/>
  <c r="C37" i="3"/>
  <c r="D37" i="3" a="1"/>
  <c r="D37" i="3"/>
  <c r="E37" i="3" a="1"/>
  <c r="E37" i="3"/>
  <c r="F37" i="3"/>
  <c r="G37" i="3" a="1"/>
  <c r="G37" i="3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C38" i="2"/>
  <c r="C37" i="2"/>
  <c r="D37" i="2"/>
  <c r="C36" i="2"/>
  <c r="D36" i="2"/>
  <c r="E36" i="2"/>
  <c r="C35" i="2"/>
  <c r="D35" i="2"/>
  <c r="E35" i="2"/>
  <c r="F35" i="2"/>
  <c r="C34" i="2"/>
  <c r="D34" i="2"/>
  <c r="E34" i="2"/>
  <c r="F34" i="2"/>
  <c r="G34" i="2"/>
  <c r="C33" i="2"/>
  <c r="D33" i="2"/>
  <c r="E33" i="2"/>
  <c r="F33" i="2"/>
  <c r="G33" i="2"/>
  <c r="H33" i="2"/>
  <c r="C32" i="2"/>
  <c r="D32" i="2"/>
  <c r="E32" i="2"/>
  <c r="F32" i="2"/>
  <c r="G32" i="2"/>
  <c r="H32" i="2"/>
  <c r="I32" i="2"/>
  <c r="C31" i="2"/>
  <c r="D31" i="2"/>
  <c r="E31" i="2"/>
  <c r="F31" i="2"/>
  <c r="G31" i="2"/>
  <c r="H31" i="2"/>
  <c r="I31" i="2"/>
  <c r="J31" i="2"/>
  <c r="C30" i="2"/>
  <c r="D30" i="2"/>
  <c r="E30" i="2"/>
  <c r="F30" i="2"/>
  <c r="G30" i="2"/>
  <c r="H30" i="2"/>
  <c r="I30" i="2"/>
  <c r="J30" i="2"/>
  <c r="K30" i="2"/>
  <c r="C29" i="2"/>
  <c r="D29" i="2"/>
  <c r="E29" i="2"/>
  <c r="F29" i="2"/>
  <c r="G29" i="2"/>
  <c r="H29" i="2"/>
  <c r="I29" i="2"/>
  <c r="J29" i="2"/>
  <c r="K29" i="2"/>
  <c r="L29" i="2"/>
  <c r="C28" i="2"/>
  <c r="D28" i="2"/>
  <c r="E28" i="2"/>
  <c r="F28" i="2"/>
  <c r="G28" i="2"/>
  <c r="H28" i="2"/>
  <c r="I28" i="2"/>
  <c r="J28" i="2"/>
  <c r="K28" i="2"/>
  <c r="L28" i="2"/>
  <c r="M28" i="2"/>
  <c r="C27" i="2"/>
  <c r="D27" i="2"/>
  <c r="E27" i="2"/>
  <c r="F27" i="2"/>
  <c r="G27" i="2"/>
  <c r="H27" i="2"/>
  <c r="I27" i="2"/>
  <c r="J27" i="2"/>
  <c r="K27" i="2"/>
  <c r="L27" i="2"/>
  <c r="M27" i="2"/>
  <c r="N27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F18" i="1"/>
  <c r="B18" i="1"/>
  <c r="B8" i="1"/>
  <c r="B7" i="1"/>
  <c r="F32" i="3" l="1"/>
  <c r="F21" i="3"/>
  <c r="F14" i="3"/>
  <c r="F3" i="3"/>
  <c r="D18" i="1"/>
  <c r="E18" i="1" s="1"/>
  <c r="F33" i="3"/>
  <c r="F26" i="3"/>
  <c r="F15" i="3"/>
  <c r="F8" i="3"/>
  <c r="F27" i="3"/>
  <c r="F20" i="3"/>
  <c r="F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<sst xmlns="http://schemas.openxmlformats.org/spreadsheetml/2006/main" count="269" uniqueCount="157">
  <si>
    <t>SaaS COHORT ANALYSIS — DASHBOARD</t>
  </si>
  <si>
    <t>KEY ASSUMPTIONS</t>
  </si>
  <si>
    <t>Starting MRR per Customer</t>
  </si>
  <si>
    <t>Monthly Churn Rate</t>
  </si>
  <si>
    <t>Monthly Expansion Rate</t>
  </si>
  <si>
    <t>Net Revenue Retention (Monthly)</t>
  </si>
  <si>
    <t>Net Revenue Retention (Annual)</t>
  </si>
  <si>
    <t>Total Cohorts</t>
  </si>
  <si>
    <t>Total Customers (Target)</t>
  </si>
  <si>
    <t>Model Start Date</t>
  </si>
  <si>
    <t>COHORT VIEW SELECTOR</t>
  </si>
  <si>
    <t>Select View:</t>
  </si>
  <si>
    <t>Retention %</t>
  </si>
  <si>
    <t>Views List</t>
  </si>
  <si>
    <t>MRR ($)</t>
  </si>
  <si>
    <t>Churned Customers</t>
  </si>
  <si>
    <t>KEY PERFORMANCE INDICATORS</t>
  </si>
  <si>
    <t>Total Active Customers</t>
  </si>
  <si>
    <t>Total MRR (Month 36)</t>
  </si>
  <si>
    <t>Avg MRR / Customer</t>
  </si>
  <si>
    <t>Cumulative Revenue</t>
  </si>
  <si>
    <t>Avg Customer LTV</t>
  </si>
  <si>
    <t>Net Revenue Retention</t>
  </si>
  <si>
    <t>Total Churned</t>
  </si>
  <si>
    <t>Cohort</t>
  </si>
  <si>
    <t>New Customers</t>
  </si>
  <si>
    <t>Month 0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</si>
  <si>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</si>
  <si>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</si>
  <si>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</si>
  <si>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</si>
  <si>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</si>
  <si>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</si>
  <si>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</si>
  <si>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</si>
  <si>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</si>
  <si>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</si>
  <si>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</si>
  <si>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</si>
  <si>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</si>
  <si>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</si>
  <si>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</si>
  <si>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</si>
  <si>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</si>
  <si>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</si>
  <si>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</si>
  <si>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</si>
  <si>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</si>
  <si>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</si>
  <si>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</si>
  <si>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</si>
  <si>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</si>
  <si>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</si>
  <si>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</si>
  <si>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</si>
  <si>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</si>
  <si>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</si>
  <si>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</si>
  <si>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</si>
  <si>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</si>
  <si>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</si>
  <si>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</si>
  <si>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TOTAL</t>
  </si>
  <si>
    <t>Month</t>
  </si>
  <si>
    <t>Total MRR</t>
  </si>
  <si>
    <t>New MRR</t>
  </si>
  <si>
    <t>Expansion MRR</t>
  </si>
  <si>
    <t>Churned MRR</t>
  </si>
  <si>
    <t>Net New MRR</t>
  </si>
  <si>
    <t>Active Customers</t>
  </si>
  <si>
    <t>Month 36</t>
  </si>
  <si>
    <t>HOW TO USE THIS MODEL</t>
  </si>
  <si>
    <t>1. Adjust blue assumptions above (MRR, churn rate, expansion rate) to model different scenarios</t>
  </si>
  <si>
    <t>2. Use the dropdown in B14 to switch between 5 cohort views in the 'Cohort Analysis' tab</t>
  </si>
  <si>
    <t>3. Available views: Retention %, MRR ($), Churned Customers, Cumulative Revenue ($), LTV per Customer ($)</t>
  </si>
  <si>
    <t>4. The 'MRR Waterfall' tab shows monthly MRR breakdown with charts</t>
  </si>
  <si>
    <t>5. All values update dynamically — change any assumption and the entire model recalculates</t>
  </si>
  <si>
    <t>6. Conditional formatting heatmap on cohort data adjusts to each view automatically</t>
  </si>
  <si>
    <t>RETENTION CURVE</t>
  </si>
  <si>
    <t>MRR COHORT ANALYSIS — Revenue by Cohort Over Time ($)</t>
  </si>
  <si>
    <t>New Cust</t>
  </si>
  <si>
    <t>Starting MRR</t>
  </si>
  <si>
    <t>Total LTV</t>
  </si>
  <si>
    <t>TOTAL MRR</t>
  </si>
  <si>
    <t>MoM Growth %</t>
  </si>
  <si>
    <t>Jan '23 Cohort</t>
  </si>
  <si>
    <t>Feb '23 Cohort</t>
  </si>
  <si>
    <t>Mar '23 Cohort</t>
  </si>
  <si>
    <t>Apr '23 Cohort</t>
  </si>
  <si>
    <t>May '23 Cohort</t>
  </si>
  <si>
    <t>Jun '23 Cohort</t>
  </si>
  <si>
    <t>Jul '23 Cohort</t>
  </si>
  <si>
    <t>Aug '23 Cohort</t>
  </si>
  <si>
    <t>Sep '23 Cohort</t>
  </si>
  <si>
    <t>Oct '23 Cohort</t>
  </si>
  <si>
    <t>Nov '23 Cohort</t>
  </si>
  <si>
    <t>Dec '23 Cohort</t>
  </si>
  <si>
    <t>Jan '24 Cohort</t>
  </si>
  <si>
    <t>Feb '24 Cohort</t>
  </si>
  <si>
    <t>Mar '24 Cohort</t>
  </si>
  <si>
    <t>Apr '24 Cohort</t>
  </si>
  <si>
    <t>May '24 Cohort</t>
  </si>
  <si>
    <t>Jun '24 Cohort</t>
  </si>
  <si>
    <t>Jul '24 Cohort</t>
  </si>
  <si>
    <t>Aug '24 Cohort</t>
  </si>
  <si>
    <t>Sep '24 Cohort</t>
  </si>
  <si>
    <t>Oct '24 Cohort</t>
  </si>
  <si>
    <t>Nov '24 Cohort</t>
  </si>
  <si>
    <t>Dec '24 Cohort</t>
  </si>
  <si>
    <t>Jan '25 Cohort</t>
  </si>
  <si>
    <t>Feb '25 Cohort</t>
  </si>
  <si>
    <t>Mar '25 Cohort</t>
  </si>
  <si>
    <t>Apr '25 Cohort</t>
  </si>
  <si>
    <t>May '25 Cohort</t>
  </si>
  <si>
    <t>Jun '25 Cohort</t>
  </si>
  <si>
    <t>Jul '25 Cohort</t>
  </si>
  <si>
    <t>Aug '25 Cohort</t>
  </si>
  <si>
    <t>Sep '25 Cohort</t>
  </si>
  <si>
    <t>Oct '25 Cohort</t>
  </si>
  <si>
    <t>Nov '25 Cohort</t>
  </si>
  <si>
    <t>Dec '25 Cohort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</si>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</sst>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%"/>
    <numFmt numFmtId="166" formatCode="mmm\ yyyy"/>
    <numFmt numFmtId="167" formatCode="0.0"/>
  </numFmts>
  <fonts count="2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B3A5C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1B3A5C"/>
      <name val="Calibri"/>
      <family val="2"/>
      <scheme val="minor"/>
    </font>
    <font>
      <sz val="9"/>
      <color rgb="FF666666"/>
      <name val="Calibri"/>
      <family val="2"/>
      <scheme val="minor"/>
    </font>
    <font>
      <b/>
      <sz val="18"/>
      <color rgb="FF1B3A5C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9999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CC0000"/>
      <name val="Calibri"/>
      <family val="2"/>
      <scheme val="minor"/>
    </font>
    <font>
      <b/>
      <sz val="12"/>
      <color rgb="FF1B3A5C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7"/>
      <color rgb="FFCCCCCC"/>
      <name val="Calibri"/>
      <family val="2"/>
      <scheme val="minor"/>
    </font>
    <font>
      <sz val="7"/>
      <color rgb="FFCCCCCC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1B3A5C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AF3E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6BA49"/>
        <bgColor indexed="64"/>
      </patternFill>
    </fill>
    <fill>
      <patternFill patternType="solid">
        <fgColor rgb="FF2D981E"/>
        <bgColor indexed="64"/>
      </patternFill>
    </fill>
  </fills>
  <borders count="34">
    <border>
      <left/>
      <right/>
      <top/>
      <bottom/>
      <diagonal/>
    </border>
    <border>
      <left style="thin">
        <color rgb="FF1B3A5C"/>
      </left>
      <right/>
      <top style="thin">
        <color rgb="FF1B3A5C"/>
      </top>
      <bottom/>
      <diagonal/>
    </border>
    <border>
      <left style="thin">
        <color rgb="FF1B3A5C"/>
      </left>
      <right/>
      <top/>
      <bottom style="thin">
        <color rgb="FF1B3A5C"/>
      </bottom>
      <diagonal/>
    </border>
    <border>
      <left style="thin">
        <color rgb="FF1B3A5C"/>
      </left>
      <right style="thin">
        <color rgb="FF1B3A5C"/>
      </right>
      <top style="thin">
        <color rgb="FF1B3A5C"/>
      </top>
      <bottom/>
      <diagonal/>
    </border>
    <border>
      <left style="thin">
        <color rgb="FF1B3A5C"/>
      </left>
      <right style="thin">
        <color rgb="FF1B3A5C"/>
      </right>
      <top/>
      <bottom style="thin">
        <color rgb="FF1B3A5C"/>
      </bottom>
      <diagonal/>
    </border>
    <border>
      <left style="thin">
        <color rgb="FF1B3A5C"/>
      </left>
      <right/>
      <top/>
      <bottom/>
      <diagonal/>
    </border>
    <border>
      <left/>
      <right style="thin">
        <color rgb="FF1B3A5C"/>
      </right>
      <top style="thin">
        <color rgb="FF1B3A5C"/>
      </top>
      <bottom/>
      <diagonal/>
    </border>
    <border>
      <left/>
      <right style="thin">
        <color rgb="FF1B3A5C"/>
      </right>
      <top/>
      <bottom/>
      <diagonal/>
    </border>
    <border>
      <left/>
      <right style="thin">
        <color rgb="FF1B3A5C"/>
      </right>
      <top/>
      <bottom style="thin">
        <color rgb="FF1B3A5C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1B3A5C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1B3A5C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1B3A5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1B3A5C"/>
      </bottom>
      <diagonal/>
    </border>
    <border>
      <left style="thin">
        <color rgb="FFE0E0E0"/>
      </left>
      <right style="thin">
        <color rgb="FF1B3A5C"/>
      </right>
      <top style="thin">
        <color rgb="FF1B3A5C"/>
      </top>
      <bottom style="thin">
        <color rgb="FFE0E0E0"/>
      </bottom>
      <diagonal/>
    </border>
    <border>
      <left style="thin">
        <color rgb="FFE0E0E0"/>
      </left>
      <right style="thin">
        <color rgb="FF1B3A5C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1B3A5C"/>
      </right>
      <top style="thin">
        <color rgb="FFE0E0E0"/>
      </top>
      <bottom style="thin">
        <color rgb="FF1B3A5C"/>
      </bottom>
      <diagonal/>
    </border>
    <border>
      <left style="thin">
        <color rgb="FFD0D8E0"/>
      </left>
      <right style="thin">
        <color rgb="FFD0D8E0"/>
      </right>
      <top/>
      <bottom style="thin">
        <color rgb="FFD0D8E0"/>
      </bottom>
      <diagonal/>
    </border>
    <border>
      <left style="thin">
        <color rgb="FFD0D8E0"/>
      </left>
      <right/>
      <top/>
      <bottom style="thin">
        <color rgb="FFD0D8E0"/>
      </bottom>
      <diagonal/>
    </border>
    <border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  <border>
      <left style="thin">
        <color rgb="FFD0D8E0"/>
      </left>
      <right/>
      <top style="thin">
        <color rgb="FFD0D8E0"/>
      </top>
      <bottom style="thin">
        <color rgb="FFD0D8E0"/>
      </bottom>
      <diagonal/>
    </border>
    <border>
      <left style="thin">
        <color rgb="FFD0D8E0"/>
      </left>
      <right style="thin">
        <color rgb="FFD0D8E0"/>
      </right>
      <top style="thin">
        <color rgb="FFD0D8E0"/>
      </top>
      <bottom style="thin">
        <color rgb="FF1B3A5C"/>
      </bottom>
      <diagonal/>
    </border>
    <border>
      <left style="thin">
        <color rgb="FFD0D8E0"/>
      </left>
      <right/>
      <top style="thin">
        <color rgb="FFD0D8E0"/>
      </top>
      <bottom style="thin">
        <color rgb="FF1B3A5C"/>
      </bottom>
      <diagonal/>
    </border>
    <border>
      <left style="thin">
        <color rgb="FF1B3A5C"/>
      </left>
      <right style="thin">
        <color rgb="FFD0D8E0"/>
      </right>
      <top style="thin">
        <color rgb="FFD0D8E0"/>
      </top>
      <bottom style="thin">
        <color rgb="FFD0D8E0"/>
      </bottom>
      <diagonal/>
    </border>
    <border>
      <left style="thin">
        <color rgb="FF1B3A5C"/>
      </left>
      <right style="thin">
        <color rgb="FFD0D8E0"/>
      </right>
      <top style="thin">
        <color rgb="FFD0D8E0"/>
      </top>
      <bottom style="thin">
        <color rgb="FF1B3A5C"/>
      </bottom>
      <diagonal/>
    </border>
    <border>
      <left style="medium">
        <color rgb="FF1B3A5C"/>
      </left>
      <right style="thin">
        <color rgb="FF1B3A5C"/>
      </right>
      <top style="thin">
        <color rgb="FFD0D8E0"/>
      </top>
      <bottom style="thin">
        <color rgb="FFD0D8E0"/>
      </bottom>
      <diagonal/>
    </border>
    <border>
      <left style="medium">
        <color rgb="FF1B3A5C"/>
      </left>
      <right style="thin">
        <color rgb="FF1B3A5C"/>
      </right>
      <top style="thin">
        <color rgb="FFD0D8E0"/>
      </top>
      <bottom style="thin">
        <color rgb="FF1B3A5C"/>
      </bottom>
      <diagonal/>
    </border>
    <border>
      <left style="thin">
        <color rgb="FF1B3A5C"/>
      </left>
      <right style="thin">
        <color rgb="FFD0D8E0"/>
      </right>
      <top/>
      <bottom style="thin">
        <color rgb="FFD0D8E0"/>
      </bottom>
      <diagonal/>
    </border>
    <border>
      <left style="medium">
        <color rgb="FF1B3A5C"/>
      </left>
      <right style="thin">
        <color rgb="FF1B3A5C"/>
      </right>
      <top/>
      <bottom style="thin">
        <color rgb="FFD0D8E0"/>
      </bottom>
      <diagonal/>
    </border>
    <border>
      <left style="thin">
        <color rgb="FF1B3A5C"/>
      </left>
      <right style="thin">
        <color rgb="FFD0D8E0"/>
      </right>
      <top style="thin">
        <color rgb="FF1B3A5C"/>
      </top>
      <bottom style="medium">
        <color rgb="FF1B3A5C"/>
      </bottom>
      <diagonal/>
    </border>
    <border>
      <left style="thin">
        <color rgb="FFD0D8E0"/>
      </left>
      <right style="thin">
        <color rgb="FFD0D8E0"/>
      </right>
      <top style="thin">
        <color rgb="FF1B3A5C"/>
      </top>
      <bottom style="medium">
        <color rgb="FF1B3A5C"/>
      </bottom>
      <diagonal/>
    </border>
    <border>
      <left style="thin">
        <color rgb="FFD0D8E0"/>
      </left>
      <right/>
      <top style="thin">
        <color rgb="FF1B3A5C"/>
      </top>
      <bottom style="medium">
        <color rgb="FF1B3A5C"/>
      </bottom>
      <diagonal/>
    </border>
    <border>
      <left style="medium">
        <color rgb="FF1B3A5C"/>
      </left>
      <right style="thin">
        <color rgb="FF1B3A5C"/>
      </right>
      <top style="thin">
        <color rgb="FF1B3A5C"/>
      </top>
      <bottom style="medium">
        <color rgb="FF1B3A5C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6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164" fontId="12" fillId="3" borderId="0" xfId="0" applyNumberFormat="1" applyFont="1" applyFill="1" applyAlignment="1">
      <alignment horizontal="center"/>
    </xf>
    <xf numFmtId="164" fontId="13" fillId="3" borderId="0" xfId="0" applyNumberFormat="1" applyFont="1" applyFill="1" applyAlignment="1">
      <alignment horizontal="center"/>
    </xf>
    <xf numFmtId="167" fontId="12" fillId="3" borderId="0" xfId="0" applyNumberFormat="1" applyFont="1" applyFill="1" applyAlignment="1">
      <alignment horizontal="center"/>
    </xf>
    <xf numFmtId="164" fontId="12" fillId="4" borderId="0" xfId="0" applyNumberFormat="1" applyFont="1" applyFill="1" applyAlignment="1">
      <alignment horizontal="center"/>
    </xf>
    <xf numFmtId="164" fontId="13" fillId="4" borderId="0" xfId="0" applyNumberFormat="1" applyFont="1" applyFill="1" applyAlignment="1">
      <alignment horizontal="center"/>
    </xf>
    <xf numFmtId="167" fontId="12" fillId="4" borderId="0" xfId="0" applyNumberFormat="1" applyFont="1" applyFill="1" applyAlignment="1">
      <alignment horizontal="center"/>
    </xf>
    <xf numFmtId="0" fontId="3" fillId="0" borderId="5" xfId="0" applyFont="1" applyBorder="1"/>
    <xf numFmtId="0" fontId="3" fillId="0" borderId="2" xfId="0" applyFont="1" applyBorder="1"/>
    <xf numFmtId="165" fontId="3" fillId="0" borderId="7" xfId="0" applyNumberFormat="1" applyFont="1" applyBorder="1"/>
    <xf numFmtId="0" fontId="4" fillId="0" borderId="2" xfId="0" applyFont="1" applyBorder="1"/>
    <xf numFmtId="0" fontId="14" fillId="2" borderId="0" xfId="0" applyFont="1" applyFill="1"/>
    <xf numFmtId="165" fontId="11" fillId="0" borderId="0" xfId="0" applyNumberFormat="1" applyFont="1"/>
    <xf numFmtId="4" fontId="12" fillId="4" borderId="10" xfId="0" applyNumberFormat="1" applyFont="1" applyFill="1" applyBorder="1" applyAlignment="1">
      <alignment horizontal="center"/>
    </xf>
    <xf numFmtId="4" fontId="12" fillId="3" borderId="10" xfId="0" applyNumberFormat="1" applyFont="1" applyFill="1" applyBorder="1" applyAlignment="1">
      <alignment horizontal="center"/>
    </xf>
    <xf numFmtId="4" fontId="12" fillId="3" borderId="12" xfId="0" applyNumberFormat="1" applyFont="1" applyFill="1" applyBorder="1" applyAlignment="1">
      <alignment horizontal="center"/>
    </xf>
    <xf numFmtId="4" fontId="12" fillId="4" borderId="14" xfId="0" applyNumberFormat="1" applyFont="1" applyFill="1" applyBorder="1" applyAlignment="1">
      <alignment horizontal="center"/>
    </xf>
    <xf numFmtId="4" fontId="12" fillId="3" borderId="15" xfId="0" applyNumberFormat="1" applyFont="1" applyFill="1" applyBorder="1" applyAlignment="1">
      <alignment horizontal="center"/>
    </xf>
    <xf numFmtId="4" fontId="12" fillId="4" borderId="16" xfId="0" applyNumberFormat="1" applyFont="1" applyFill="1" applyBorder="1" applyAlignment="1">
      <alignment horizontal="center"/>
    </xf>
    <xf numFmtId="4" fontId="12" fillId="3" borderId="16" xfId="0" applyNumberFormat="1" applyFont="1" applyFill="1" applyBorder="1" applyAlignment="1">
      <alignment horizontal="center"/>
    </xf>
    <xf numFmtId="4" fontId="12" fillId="4" borderId="17" xfId="0" applyNumberFormat="1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1" fontId="12" fillId="3" borderId="20" xfId="0" applyNumberFormat="1" applyFont="1" applyFill="1" applyBorder="1" applyAlignment="1">
      <alignment horizontal="center"/>
    </xf>
    <xf numFmtId="164" fontId="12" fillId="3" borderId="20" xfId="0" applyNumberFormat="1" applyFont="1" applyFill="1" applyBorder="1" applyAlignment="1">
      <alignment horizontal="center"/>
    </xf>
    <xf numFmtId="164" fontId="12" fillId="3" borderId="21" xfId="0" applyNumberFormat="1" applyFont="1" applyFill="1" applyBorder="1" applyAlignment="1">
      <alignment horizontal="center"/>
    </xf>
    <xf numFmtId="1" fontId="12" fillId="4" borderId="20" xfId="0" applyNumberFormat="1" applyFont="1" applyFill="1" applyBorder="1" applyAlignment="1">
      <alignment horizontal="center"/>
    </xf>
    <xf numFmtId="164" fontId="12" fillId="4" borderId="20" xfId="0" applyNumberFormat="1" applyFont="1" applyFill="1" applyBorder="1" applyAlignment="1">
      <alignment horizontal="center"/>
    </xf>
    <xf numFmtId="164" fontId="12" fillId="4" borderId="21" xfId="0" applyNumberFormat="1" applyFont="1" applyFill="1" applyBorder="1" applyAlignment="1">
      <alignment horizontal="center"/>
    </xf>
    <xf numFmtId="1" fontId="12" fillId="3" borderId="18" xfId="0" applyNumberFormat="1" applyFont="1" applyFill="1" applyBorder="1" applyAlignment="1">
      <alignment horizontal="center"/>
    </xf>
    <xf numFmtId="164" fontId="12" fillId="3" borderId="18" xfId="0" applyNumberFormat="1" applyFont="1" applyFill="1" applyBorder="1" applyAlignment="1">
      <alignment horizontal="center"/>
    </xf>
    <xf numFmtId="164" fontId="12" fillId="3" borderId="19" xfId="0" applyNumberFormat="1" applyFont="1" applyFill="1" applyBorder="1" applyAlignment="1">
      <alignment horizontal="center"/>
    </xf>
    <xf numFmtId="4" fontId="21" fillId="3" borderId="12" xfId="0" applyNumberFormat="1" applyFont="1" applyFill="1" applyBorder="1" applyAlignment="1">
      <alignment horizontal="center"/>
    </xf>
    <xf numFmtId="4" fontId="21" fillId="4" borderId="10" xfId="0" applyNumberFormat="1" applyFont="1" applyFill="1" applyBorder="1" applyAlignment="1">
      <alignment horizontal="center"/>
    </xf>
    <xf numFmtId="4" fontId="21" fillId="3" borderId="10" xfId="0" applyNumberFormat="1" applyFont="1" applyFill="1" applyBorder="1" applyAlignment="1">
      <alignment horizontal="center"/>
    </xf>
    <xf numFmtId="4" fontId="21" fillId="4" borderId="14" xfId="0" applyNumberFormat="1" applyFont="1" applyFill="1" applyBorder="1" applyAlignment="1">
      <alignment horizontal="center"/>
    </xf>
    <xf numFmtId="49" fontId="10" fillId="6" borderId="28" xfId="0" applyNumberFormat="1" applyFont="1" applyFill="1" applyBorder="1" applyAlignment="1">
      <alignment horizontal="left"/>
    </xf>
    <xf numFmtId="49" fontId="10" fillId="6" borderId="24" xfId="0" applyNumberFormat="1" applyFont="1" applyFill="1" applyBorder="1" applyAlignment="1">
      <alignment horizontal="left"/>
    </xf>
    <xf numFmtId="0" fontId="8" fillId="5" borderId="0" xfId="0" applyFont="1" applyFill="1"/>
    <xf numFmtId="4" fontId="8" fillId="5" borderId="0" xfId="0" applyNumberFormat="1" applyFont="1" applyFill="1"/>
    <xf numFmtId="0" fontId="12" fillId="7" borderId="6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center"/>
    </xf>
    <xf numFmtId="4" fontId="21" fillId="8" borderId="9" xfId="0" applyNumberFormat="1" applyFont="1" applyFill="1" applyBorder="1" applyAlignment="1">
      <alignment horizontal="center"/>
    </xf>
    <xf numFmtId="4" fontId="21" fillId="8" borderId="13" xfId="0" applyNumberFormat="1" applyFont="1" applyFill="1" applyBorder="1" applyAlignment="1">
      <alignment horizontal="center"/>
    </xf>
    <xf numFmtId="4" fontId="21" fillId="8" borderId="11" xfId="0" applyNumberFormat="1" applyFont="1" applyFill="1" applyBorder="1" applyAlignment="1">
      <alignment horizontal="center"/>
    </xf>
    <xf numFmtId="4" fontId="21" fillId="8" borderId="10" xfId="0" applyNumberFormat="1" applyFont="1" applyFill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18" fillId="10" borderId="0" xfId="0" applyFont="1" applyFill="1"/>
    <xf numFmtId="0" fontId="18" fillId="10" borderId="0" xfId="0" applyFont="1" applyFill="1"/>
    <xf numFmtId="0" fontId="19" fillId="11" borderId="30" xfId="0" applyFont="1" applyFill="1" applyBorder="1" applyAlignment="1">
      <alignment horizontal="center"/>
    </xf>
    <xf numFmtId="0" fontId="19" fillId="11" borderId="31" xfId="0" applyFont="1" applyFill="1" applyBorder="1" applyAlignment="1">
      <alignment horizontal="center"/>
    </xf>
    <xf numFmtId="49" fontId="19" fillId="11" borderId="31" xfId="0" applyNumberFormat="1" applyFont="1" applyFill="1" applyBorder="1" applyAlignment="1">
      <alignment horizontal="center"/>
    </xf>
    <xf numFmtId="49" fontId="19" fillId="11" borderId="32" xfId="0" applyNumberFormat="1" applyFont="1" applyFill="1" applyBorder="1" applyAlignment="1">
      <alignment horizontal="center"/>
    </xf>
    <xf numFmtId="0" fontId="19" fillId="11" borderId="33" xfId="0" applyFont="1" applyFill="1" applyBorder="1" applyAlignment="1">
      <alignment horizontal="center"/>
    </xf>
    <xf numFmtId="0" fontId="8" fillId="11" borderId="25" xfId="0" applyFont="1" applyFill="1" applyBorder="1"/>
    <xf numFmtId="1" fontId="8" fillId="11" borderId="22" xfId="0" applyNumberFormat="1" applyFont="1" applyFill="1" applyBorder="1"/>
    <xf numFmtId="164" fontId="8" fillId="11" borderId="22" xfId="0" applyNumberFormat="1" applyFont="1" applyFill="1" applyBorder="1"/>
    <xf numFmtId="164" fontId="8" fillId="11" borderId="23" xfId="0" applyNumberFormat="1" applyFont="1" applyFill="1" applyBorder="1"/>
    <xf numFmtId="164" fontId="8" fillId="11" borderId="27" xfId="0" applyNumberFormat="1" applyFont="1" applyFill="1" applyBorder="1"/>
    <xf numFmtId="0" fontId="20" fillId="8" borderId="0" xfId="0" applyFont="1" applyFill="1"/>
    <xf numFmtId="165" fontId="20" fillId="8" borderId="0" xfId="0" applyNumberFormat="1" applyFont="1" applyFill="1"/>
    <xf numFmtId="164" fontId="10" fillId="8" borderId="29" xfId="0" applyNumberFormat="1" applyFont="1" applyFill="1" applyBorder="1" applyAlignment="1">
      <alignment horizontal="center"/>
    </xf>
    <xf numFmtId="164" fontId="10" fillId="8" borderId="26" xfId="0" applyNumberFormat="1" applyFont="1" applyFill="1" applyBorder="1" applyAlignment="1">
      <alignment horizontal="center"/>
    </xf>
    <xf numFmtId="49" fontId="10" fillId="8" borderId="28" xfId="0" applyNumberFormat="1" applyFont="1" applyFill="1" applyBorder="1" applyAlignment="1">
      <alignment horizontal="left"/>
    </xf>
    <xf numFmtId="49" fontId="10" fillId="8" borderId="24" xfId="0" applyNumberFormat="1" applyFont="1" applyFill="1" applyBorder="1" applyAlignment="1">
      <alignment horizontal="left"/>
    </xf>
    <xf numFmtId="0" fontId="8" fillId="10" borderId="0" xfId="0" applyFont="1" applyFill="1" applyAlignment="1">
      <alignment horizontal="center"/>
    </xf>
    <xf numFmtId="0" fontId="10" fillId="6" borderId="0" xfId="0" applyFont="1" applyFill="1"/>
    <xf numFmtId="0" fontId="8" fillId="10" borderId="0" xfId="0" applyFont="1" applyFill="1"/>
    <xf numFmtId="164" fontId="8" fillId="10" borderId="0" xfId="0" applyNumberFormat="1" applyFont="1" applyFill="1"/>
    <xf numFmtId="167" fontId="8" fillId="10" borderId="0" xfId="0" applyNumberFormat="1" applyFont="1" applyFill="1"/>
    <xf numFmtId="0" fontId="1" fillId="10" borderId="0" xfId="0" applyFont="1" applyFill="1" applyAlignment="1">
      <alignment horizontal="left"/>
    </xf>
    <xf numFmtId="0" fontId="0" fillId="10" borderId="0" xfId="0" applyFill="1"/>
    <xf numFmtId="0" fontId="2" fillId="8" borderId="1" xfId="0" applyFont="1" applyFill="1" applyBorder="1"/>
    <xf numFmtId="0" fontId="0" fillId="8" borderId="6" xfId="0" applyFill="1" applyBorder="1"/>
    <xf numFmtId="0" fontId="2" fillId="7" borderId="0" xfId="0" applyFont="1" applyFill="1"/>
    <xf numFmtId="0" fontId="0" fillId="7" borderId="0" xfId="0" applyFill="1"/>
    <xf numFmtId="0" fontId="17" fillId="7" borderId="0" xfId="0" applyFont="1" applyFill="1"/>
    <xf numFmtId="0" fontId="6" fillId="6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" fontId="7" fillId="6" borderId="2" xfId="0" applyNumberFormat="1" applyFont="1" applyFill="1" applyBorder="1" applyAlignment="1">
      <alignment horizontal="center"/>
    </xf>
    <xf numFmtId="164" fontId="7" fillId="6" borderId="2" xfId="0" applyNumberFormat="1" applyFont="1" applyFill="1" applyBorder="1" applyAlignment="1">
      <alignment horizontal="center"/>
    </xf>
    <xf numFmtId="164" fontId="16" fillId="6" borderId="2" xfId="0" applyNumberFormat="1" applyFont="1" applyFill="1" applyBorder="1" applyAlignment="1">
      <alignment horizontal="center"/>
    </xf>
    <xf numFmtId="165" fontId="7" fillId="6" borderId="2" xfId="0" applyNumberFormat="1" applyFont="1" applyFill="1" applyBorder="1" applyAlignment="1">
      <alignment horizontal="center"/>
    </xf>
    <xf numFmtId="1" fontId="7" fillId="6" borderId="4" xfId="0" applyNumberFormat="1" applyFont="1" applyFill="1" applyBorder="1" applyAlignment="1">
      <alignment horizontal="center"/>
    </xf>
    <xf numFmtId="0" fontId="14" fillId="7" borderId="0" xfId="0" applyFont="1" applyFill="1"/>
    <xf numFmtId="0" fontId="15" fillId="5" borderId="0" xfId="0" applyFont="1" applyFill="1"/>
    <xf numFmtId="164" fontId="23" fillId="0" borderId="7" xfId="0" applyNumberFormat="1" applyFont="1" applyBorder="1"/>
    <xf numFmtId="165" fontId="23" fillId="0" borderId="7" xfId="0" applyNumberFormat="1" applyFont="1" applyBorder="1"/>
    <xf numFmtId="0" fontId="23" fillId="0" borderId="7" xfId="0" applyFont="1" applyBorder="1"/>
    <xf numFmtId="166" fontId="23" fillId="0" borderId="8" xfId="0" applyNumberFormat="1" applyFont="1" applyBorder="1"/>
    <xf numFmtId="0" fontId="5" fillId="6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F3E3"/>
      <color rgb="FF16BA49"/>
      <color rgb="FF2D98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B3A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Retention Curve (36 Months)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B3A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Dashboard!$B$29</c:f>
              <c:strCache>
                <c:ptCount val="1"/>
                <c:pt idx="0">
                  <c:v>Retention 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Dashboard!$A$30:$A$65</c:f>
              <c:strCache>
                <c:ptCount val="36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  <c:pt idx="12">
                  <c:v>Month 12</c:v>
                </c:pt>
                <c:pt idx="13">
                  <c:v>Month 13</c:v>
                </c:pt>
                <c:pt idx="14">
                  <c:v>Month 14</c:v>
                </c:pt>
                <c:pt idx="15">
                  <c:v>Month 15</c:v>
                </c:pt>
                <c:pt idx="16">
                  <c:v>Month 16</c:v>
                </c:pt>
                <c:pt idx="17">
                  <c:v>Month 17</c:v>
                </c:pt>
                <c:pt idx="18">
                  <c:v>Month 18</c:v>
                </c:pt>
                <c:pt idx="19">
                  <c:v>Month 19</c:v>
                </c:pt>
                <c:pt idx="20">
                  <c:v>Month 20</c:v>
                </c:pt>
                <c:pt idx="21">
                  <c:v>Month 21</c:v>
                </c:pt>
                <c:pt idx="22">
                  <c:v>Month 22</c:v>
                </c:pt>
                <c:pt idx="23">
                  <c:v>Month 23</c:v>
                </c:pt>
                <c:pt idx="24">
                  <c:v>Month 24</c:v>
                </c:pt>
                <c:pt idx="25">
                  <c:v>Month 25</c:v>
                </c:pt>
                <c:pt idx="26">
                  <c:v>Month 26</c:v>
                </c:pt>
                <c:pt idx="27">
                  <c:v>Month 27</c:v>
                </c:pt>
                <c:pt idx="28">
                  <c:v>Month 28</c:v>
                </c:pt>
                <c:pt idx="29">
                  <c:v>Month 29</c:v>
                </c:pt>
                <c:pt idx="30">
                  <c:v>Month 30</c:v>
                </c:pt>
                <c:pt idx="31">
                  <c:v>Month 31</c:v>
                </c:pt>
                <c:pt idx="32">
                  <c:v>Month 32</c:v>
                </c:pt>
                <c:pt idx="33">
                  <c:v>Month 33</c:v>
                </c:pt>
                <c:pt idx="34">
                  <c:v>Month 34</c:v>
                </c:pt>
                <c:pt idx="35">
                  <c:v>Month 35</c:v>
                </c:pt>
              </c:strCache>
            </c:strRef>
          </c:cat>
          <c:val>
            <c:numRef>
              <c:f>Dashboard!$B$30:$B$65</c:f>
              <c:numCache>
                <c:formatCode>0.0%</c:formatCode>
                <c:ptCount val="36"/>
                <c:pt idx="0">
                  <c:v>1</c:v>
                </c:pt>
                <c:pt idx="1">
                  <c:v>0.92999999999999994</c:v>
                </c:pt>
                <c:pt idx="2">
                  <c:v>0.86489999999999989</c:v>
                </c:pt>
                <c:pt idx="3">
                  <c:v>0.80435699999999988</c:v>
                </c:pt>
                <c:pt idx="4">
                  <c:v>0.74805200999999977</c:v>
                </c:pt>
                <c:pt idx="5">
                  <c:v>0.69568836929999978</c:v>
                </c:pt>
                <c:pt idx="6">
                  <c:v>0.64699018344899972</c:v>
                </c:pt>
                <c:pt idx="7">
                  <c:v>0.60170087060756972</c:v>
                </c:pt>
                <c:pt idx="8">
                  <c:v>0.55958180966503979</c:v>
                </c:pt>
                <c:pt idx="9">
                  <c:v>0.52041108298848693</c:v>
                </c:pt>
                <c:pt idx="10">
                  <c:v>0.48398230717929286</c:v>
                </c:pt>
                <c:pt idx="11">
                  <c:v>0.45010354567674232</c:v>
                </c:pt>
                <c:pt idx="12">
                  <c:v>0.41859629747937033</c:v>
                </c:pt>
                <c:pt idx="13">
                  <c:v>0.38929455665581436</c:v>
                </c:pt>
                <c:pt idx="14">
                  <c:v>0.36204393768990734</c:v>
                </c:pt>
                <c:pt idx="15">
                  <c:v>0.33670086205161381</c:v>
                </c:pt>
                <c:pt idx="16">
                  <c:v>0.31313180170800081</c:v>
                </c:pt>
                <c:pt idx="17">
                  <c:v>0.29121257558844071</c:v>
                </c:pt>
                <c:pt idx="18">
                  <c:v>0.27082769529724987</c:v>
                </c:pt>
                <c:pt idx="19">
                  <c:v>0.2518697566264424</c:v>
                </c:pt>
                <c:pt idx="20">
                  <c:v>0.23423887366259136</c:v>
                </c:pt>
                <c:pt idx="21">
                  <c:v>0.21784215250620997</c:v>
                </c:pt>
                <c:pt idx="22">
                  <c:v>0.20259320183077525</c:v>
                </c:pt>
                <c:pt idx="23">
                  <c:v>0.18841167770262096</c:v>
                </c:pt>
                <c:pt idx="24">
                  <c:v>0.1752228602634375</c:v>
                </c:pt>
                <c:pt idx="25">
                  <c:v>0.16295726004499683</c:v>
                </c:pt>
                <c:pt idx="26">
                  <c:v>0.15155025184184706</c:v>
                </c:pt>
                <c:pt idx="27">
                  <c:v>0.14094173421291775</c:v>
                </c:pt>
                <c:pt idx="28">
                  <c:v>0.1310758128180135</c:v>
                </c:pt>
                <c:pt idx="29">
                  <c:v>0.12190050592075255</c:v>
                </c:pt>
                <c:pt idx="30">
                  <c:v>0.11336747050629986</c:v>
                </c:pt>
                <c:pt idx="31">
                  <c:v>0.10543174757085887</c:v>
                </c:pt>
                <c:pt idx="32">
                  <c:v>9.8051525240898746E-2</c:v>
                </c:pt>
                <c:pt idx="33">
                  <c:v>9.1187918474035831E-2</c:v>
                </c:pt>
                <c:pt idx="34">
                  <c:v>8.4804764180853309E-2</c:v>
                </c:pt>
                <c:pt idx="35">
                  <c:v>7.8868430688193575E-2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3-42EC-B807-D8D8A3E27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460607"/>
        <c:axId val="248461855"/>
      </c:areaChart>
      <c:catAx>
        <c:axId val="248460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61855"/>
        <c:crosses val="autoZero"/>
        <c:auto val="1"/>
        <c:lblAlgn val="ctr"/>
        <c:lblOffset val="100"/>
        <c:noMultiLvlLbl val="0"/>
      </c:catAx>
      <c:valAx>
        <c:axId val="24846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6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B3A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MRR Over 36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B3A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'MRR Waterfall'!$B$1</c:f>
              <c:strCache>
                <c:ptCount val="1"/>
                <c:pt idx="0">
                  <c:v>Total MRR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'MRR Waterfall'!$A$2:$A$37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'MRR Waterfall'!$B$2:$B$37</c:f>
              <c:numCache>
                <c:formatCode>"$"#\ ##0</c:formatCode>
                <c:ptCount val="36"/>
                <c:pt idx="0">
                  <c:v>100</c:v>
                </c:pt>
                <c:pt idx="1">
                  <c:v>195.5</c:v>
                </c:pt>
                <c:pt idx="2">
                  <c:v>286.70249999999999</c:v>
                </c:pt>
                <c:pt idx="3">
                  <c:v>373.80088749999999</c:v>
                </c:pt>
                <c:pt idx="4">
                  <c:v>456.97984756249997</c:v>
                </c:pt>
                <c:pt idx="5">
                  <c:v>536.41575442218755</c:v>
                </c:pt>
                <c:pt idx="6">
                  <c:v>612.27704547318899</c:v>
                </c:pt>
                <c:pt idx="7">
                  <c:v>684.7245784268955</c:v>
                </c:pt>
                <c:pt idx="8">
                  <c:v>753.91197239768519</c:v>
                </c:pt>
                <c:pt idx="9">
                  <c:v>919.98593363978932</c:v>
                </c:pt>
                <c:pt idx="10">
                  <c:v>1078.5865666259988</c:v>
                </c:pt>
                <c:pt idx="11">
                  <c:v>1230.0501711278289</c:v>
                </c:pt>
                <c:pt idx="12">
                  <c:v>1374.6979134270764</c:v>
                </c:pt>
                <c:pt idx="13">
                  <c:v>1512.8365073228581</c:v>
                </c:pt>
                <c:pt idx="14">
                  <c:v>1644.7588644933296</c:v>
                </c:pt>
                <c:pt idx="15">
                  <c:v>1770.7447155911298</c:v>
                </c:pt>
                <c:pt idx="16">
                  <c:v>1891.0612033895288</c:v>
                </c:pt>
                <c:pt idx="17">
                  <c:v>2005.9634492369998</c:v>
                </c:pt>
                <c:pt idx="18">
                  <c:v>2015.6950940213349</c:v>
                </c:pt>
                <c:pt idx="19">
                  <c:v>2024.9888147903746</c:v>
                </c:pt>
                <c:pt idx="20">
                  <c:v>2133.8643181248081</c:v>
                </c:pt>
                <c:pt idx="21">
                  <c:v>2237.8404238091916</c:v>
                </c:pt>
                <c:pt idx="22">
                  <c:v>2337.137604737778</c:v>
                </c:pt>
                <c:pt idx="23">
                  <c:v>2431.9664125245781</c:v>
                </c:pt>
                <c:pt idx="24">
                  <c:v>2422.5279239609722</c:v>
                </c:pt>
                <c:pt idx="25">
                  <c:v>2413.5141673827284</c:v>
                </c:pt>
                <c:pt idx="26">
                  <c:v>2504.9060298505051</c:v>
                </c:pt>
                <c:pt idx="27">
                  <c:v>2592.1852585072324</c:v>
                </c:pt>
                <c:pt idx="28">
                  <c:v>2575.5369218744072</c:v>
                </c:pt>
                <c:pt idx="29">
                  <c:v>2559.6377603900592</c:v>
                </c:pt>
                <c:pt idx="30">
                  <c:v>2544.454061172506</c:v>
                </c:pt>
                <c:pt idx="31">
                  <c:v>2529.9536284197429</c:v>
                </c:pt>
                <c:pt idx="32">
                  <c:v>2516.105715140855</c:v>
                </c:pt>
                <c:pt idx="33">
                  <c:v>2502.8809579595163</c:v>
                </c:pt>
                <c:pt idx="34">
                  <c:v>2490.2513148513381</c:v>
                </c:pt>
                <c:pt idx="35">
                  <c:v>2378.1900056830277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D-406F-B8F3-5C9DCCCEA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613439"/>
        <c:axId val="247611775"/>
      </c:lineChart>
      <c:catAx>
        <c:axId val="24761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611775"/>
        <c:crosses val="autoZero"/>
        <c:auto val="1"/>
        <c:lblAlgn val="ctr"/>
        <c:lblOffset val="100"/>
        <c:noMultiLvlLbl val="0"/>
      </c:catAx>
      <c:valAx>
        <c:axId val="24761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613439"/>
        <c:crosses val="autoZero"/>
        <c:crossBetween val="between"/>
      </c:valAx>
      <c:spPr>
        <a:solidFill>
          <a:schemeClr val="accent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B3A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MRR Components: New / Expansion / Churned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B3A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'MRR Waterfall'!$C$1</c:f>
              <c:strCache>
                <c:ptCount val="1"/>
                <c:pt idx="0">
                  <c:v>New MRR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'MRR Waterfall'!$C$2:$C$37</c:f>
              <c:numCache>
                <c:formatCode>"$"#\ ##0</c:formatCode>
                <c:ptCount val="3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100</c:v>
                </c:pt>
                <c:pt idx="19">
                  <c:v>100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100</c:v>
                </c:pt>
                <c:pt idx="25">
                  <c:v>100</c:v>
                </c:pt>
                <c:pt idx="26">
                  <c:v>200</c:v>
                </c:pt>
                <c:pt idx="27">
                  <c:v>200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A-46B4-B08B-2A8CC3CF7294}"/>
            </c:ext>
          </c:extLst>
        </c:ser>
        <c:ser>
          <c:idx val="1"/>
          <c:order val="1"/>
          <c:tx>
            <c:strRef>
              <c:f>'MRR Waterfall'!$D$1</c:f>
              <c:strCache>
                <c:ptCount val="1"/>
                <c:pt idx="0">
                  <c:v>Expansion MRR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'MRR Waterfall'!$D$2:$D$37</c:f>
              <c:numCache>
                <c:formatCode>"$"#\ ##0</c:formatCode>
                <c:ptCount val="36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27.5</c:v>
                </c:pt>
                <c:pt idx="11">
                  <c:v>32.5</c:v>
                </c:pt>
                <c:pt idx="12">
                  <c:v>37.5</c:v>
                </c:pt>
                <c:pt idx="13">
                  <c:v>42.5</c:v>
                </c:pt>
                <c:pt idx="14">
                  <c:v>47.5</c:v>
                </c:pt>
                <c:pt idx="15">
                  <c:v>52.5</c:v>
                </c:pt>
                <c:pt idx="16">
                  <c:v>57.5</c:v>
                </c:pt>
                <c:pt idx="17">
                  <c:v>62.5</c:v>
                </c:pt>
                <c:pt idx="18">
                  <c:v>67.5</c:v>
                </c:pt>
                <c:pt idx="19">
                  <c:v>70</c:v>
                </c:pt>
                <c:pt idx="20">
                  <c:v>72.5</c:v>
                </c:pt>
                <c:pt idx="21">
                  <c:v>77.5</c:v>
                </c:pt>
                <c:pt idx="22">
                  <c:v>82.5</c:v>
                </c:pt>
                <c:pt idx="23">
                  <c:v>87.5</c:v>
                </c:pt>
                <c:pt idx="24">
                  <c:v>92.5</c:v>
                </c:pt>
                <c:pt idx="25">
                  <c:v>95</c:v>
                </c:pt>
                <c:pt idx="26">
                  <c:v>97.5</c:v>
                </c:pt>
                <c:pt idx="27">
                  <c:v>102.5</c:v>
                </c:pt>
                <c:pt idx="28">
                  <c:v>107.5</c:v>
                </c:pt>
                <c:pt idx="29">
                  <c:v>110</c:v>
                </c:pt>
                <c:pt idx="30">
                  <c:v>112.5</c:v>
                </c:pt>
                <c:pt idx="31">
                  <c:v>115</c:v>
                </c:pt>
                <c:pt idx="32">
                  <c:v>117.5</c:v>
                </c:pt>
                <c:pt idx="33">
                  <c:v>120</c:v>
                </c:pt>
                <c:pt idx="34">
                  <c:v>122.5</c:v>
                </c:pt>
                <c:pt idx="35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A-46B4-B08B-2A8CC3CF7294}"/>
            </c:ext>
          </c:extLst>
        </c:ser>
        <c:ser>
          <c:idx val="2"/>
          <c:order val="2"/>
          <c:tx>
            <c:strRef>
              <c:f>'MRR Waterfall'!$E$1</c:f>
              <c:strCache>
                <c:ptCount val="1"/>
                <c:pt idx="0">
                  <c:v>Churned MRR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'MRR Waterfall'!$E$2:$E$37</c:f>
              <c:numCache>
                <c:formatCode>"$"#\ ##0</c:formatCode>
                <c:ptCount val="36"/>
                <c:pt idx="0">
                  <c:v>0</c:v>
                </c:pt>
                <c:pt idx="1">
                  <c:v>-7.0000000000000009</c:v>
                </c:pt>
                <c:pt idx="2">
                  <c:v>-14.000000000000002</c:v>
                </c:pt>
                <c:pt idx="3">
                  <c:v>-21.000000000000004</c:v>
                </c:pt>
                <c:pt idx="4">
                  <c:v>-28.000000000000004</c:v>
                </c:pt>
                <c:pt idx="5">
                  <c:v>-35.000000000000007</c:v>
                </c:pt>
                <c:pt idx="6">
                  <c:v>-42.000000000000007</c:v>
                </c:pt>
                <c:pt idx="7">
                  <c:v>-49.000000000000007</c:v>
                </c:pt>
                <c:pt idx="8">
                  <c:v>-56.000000000000007</c:v>
                </c:pt>
                <c:pt idx="9">
                  <c:v>-63.000000000000007</c:v>
                </c:pt>
                <c:pt idx="10">
                  <c:v>-77.000000000000014</c:v>
                </c:pt>
                <c:pt idx="11">
                  <c:v>-91.000000000000014</c:v>
                </c:pt>
                <c:pt idx="12">
                  <c:v>-105.00000000000001</c:v>
                </c:pt>
                <c:pt idx="13">
                  <c:v>-119.00000000000001</c:v>
                </c:pt>
                <c:pt idx="14">
                  <c:v>-133.00000000000003</c:v>
                </c:pt>
                <c:pt idx="15">
                  <c:v>-147.00000000000003</c:v>
                </c:pt>
                <c:pt idx="16">
                  <c:v>-161.00000000000003</c:v>
                </c:pt>
                <c:pt idx="17">
                  <c:v>-175.00000000000003</c:v>
                </c:pt>
                <c:pt idx="18">
                  <c:v>-189.00000000000003</c:v>
                </c:pt>
                <c:pt idx="19">
                  <c:v>-196.00000000000003</c:v>
                </c:pt>
                <c:pt idx="20">
                  <c:v>-203.00000000000003</c:v>
                </c:pt>
                <c:pt idx="21">
                  <c:v>-217.00000000000003</c:v>
                </c:pt>
                <c:pt idx="22">
                  <c:v>-231.00000000000003</c:v>
                </c:pt>
                <c:pt idx="23">
                  <c:v>-245.00000000000003</c:v>
                </c:pt>
                <c:pt idx="24">
                  <c:v>-259.00000000000006</c:v>
                </c:pt>
                <c:pt idx="25">
                  <c:v>-266.00000000000006</c:v>
                </c:pt>
                <c:pt idx="26">
                  <c:v>-273.00000000000006</c:v>
                </c:pt>
                <c:pt idx="27">
                  <c:v>-287.00000000000006</c:v>
                </c:pt>
                <c:pt idx="28">
                  <c:v>-301.00000000000006</c:v>
                </c:pt>
                <c:pt idx="29">
                  <c:v>-308.00000000000006</c:v>
                </c:pt>
                <c:pt idx="30">
                  <c:v>-315.00000000000006</c:v>
                </c:pt>
                <c:pt idx="31">
                  <c:v>-322.00000000000006</c:v>
                </c:pt>
                <c:pt idx="32">
                  <c:v>-329.00000000000006</c:v>
                </c:pt>
                <c:pt idx="33">
                  <c:v>-336.00000000000006</c:v>
                </c:pt>
                <c:pt idx="34">
                  <c:v>-343.00000000000006</c:v>
                </c:pt>
                <c:pt idx="35">
                  <c:v>-350.00000000000006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A-46B4-B08B-2A8CC3CF7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7613023"/>
        <c:axId val="247613855"/>
      </c:barChart>
      <c:catAx>
        <c:axId val="24761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613855"/>
        <c:crosses val="autoZero"/>
        <c:auto val="1"/>
        <c:lblAlgn val="ctr"/>
        <c:lblOffset val="100"/>
        <c:noMultiLvlLbl val="0"/>
      </c:catAx>
      <c:valAx>
        <c:axId val="24761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61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26</xdr:row>
      <xdr:rowOff>177800</xdr:rowOff>
    </xdr:from>
    <xdr:to>
      <xdr:col>6</xdr:col>
      <xdr:colOff>1397000</xdr:colOff>
      <xdr:row>44</xdr:row>
      <xdr:rowOff>43180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0AE964-A8AF-43E6-AB1A-0F38B16CF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146050</xdr:colOff>
      <xdr:row>1</xdr:row>
      <xdr:rowOff>82550</xdr:rowOff>
    </xdr:from>
    <xdr:to>
      <xdr:col>14</xdr:col>
      <xdr:colOff>60960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353E2-E86F-448C-B572-964892557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99060</xdr:colOff>
      <xdr:row>23</xdr:row>
      <xdr:rowOff>69850</xdr:rowOff>
    </xdr:from>
    <xdr:to>
      <xdr:col>13</xdr:col>
      <xdr:colOff>565150</xdr:colOff>
      <xdr:row>40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E63CEE-9E87-44BB-9F15-2D968E24B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257456-7BA8-4ABC-AA58-F5811BFBA994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7F71-7A6A-4125-A6C7-0155AED3B88F}">
  <dimension ref="A1:G65"/>
  <sheetViews>
    <sheetView tabSelected="1" workbookViewId="0">
      <selection activeCell="B14" sqref="B14"/>
    </sheetView>
  </sheetViews>
  <sheetFormatPr baseColWidth="10" defaultColWidth="8.81640625" defaultRowHeight="14.5" outlineLevelRow="1" x14ac:dyDescent="0.35"/>
  <cols>
    <col min="1" max="1" width="33.36328125" customWidth="1"/>
    <col min="2" max="3" width="18.453125" customWidth="1"/>
    <col min="4" max="4" width="20.36328125" hidden="1" customWidth="1"/>
    <col min="5" max="7" width="18.453125" customWidth="1"/>
  </cols>
  <sheetData>
    <row r="1" spans="1:7" ht="35" customHeight="1" x14ac:dyDescent="0.5">
      <c r="A1" s="74" t="s">
        <v>0</v>
      </c>
      <c r="B1" s="75"/>
      <c r="C1" s="75"/>
      <c r="D1" s="75"/>
      <c r="E1" s="75"/>
      <c r="F1" s="75"/>
      <c r="G1" s="75"/>
    </row>
    <row r="3" spans="1:7" ht="15.5" x14ac:dyDescent="0.35">
      <c r="A3" s="76" t="s">
        <v>1</v>
      </c>
      <c r="B3" s="77"/>
    </row>
    <row r="4" spans="1:7" x14ac:dyDescent="0.35">
      <c r="A4" s="10" t="s">
        <v>2</v>
      </c>
      <c r="B4" s="91">
        <v>100</v>
      </c>
    </row>
    <row r="5" spans="1:7" x14ac:dyDescent="0.35">
      <c r="A5" s="10" t="s">
        <v>3</v>
      </c>
      <c r="B5" s="92">
        <v>7.0000000000000007E-2</v>
      </c>
    </row>
    <row r="6" spans="1:7" x14ac:dyDescent="0.35">
      <c r="A6" s="10" t="s">
        <v>4</v>
      </c>
      <c r="B6" s="92">
        <v>2.5000000000000001E-2</v>
      </c>
    </row>
    <row r="7" spans="1:7" x14ac:dyDescent="0.35">
      <c r="A7" s="10" t="s">
        <v>5</v>
      </c>
      <c r="B7" s="12">
        <f>1-B5+B6</f>
        <v>0.95499999999999996</v>
      </c>
    </row>
    <row r="8" spans="1:7" x14ac:dyDescent="0.35">
      <c r="A8" s="10" t="s">
        <v>6</v>
      </c>
      <c r="B8" s="12">
        <f>(1-B5+B6)^12</f>
        <v>0.57549354799247687</v>
      </c>
    </row>
    <row r="9" spans="1:7" x14ac:dyDescent="0.35">
      <c r="A9" s="10" t="s">
        <v>7</v>
      </c>
      <c r="B9" s="93">
        <v>36</v>
      </c>
    </row>
    <row r="10" spans="1:7" x14ac:dyDescent="0.35">
      <c r="A10" s="10" t="s">
        <v>8</v>
      </c>
      <c r="B10" s="93">
        <v>50</v>
      </c>
    </row>
    <row r="11" spans="1:7" x14ac:dyDescent="0.35">
      <c r="A11" s="11" t="s">
        <v>9</v>
      </c>
      <c r="B11" s="94">
        <v>44927</v>
      </c>
    </row>
    <row r="13" spans="1:7" ht="15.5" x14ac:dyDescent="0.35">
      <c r="A13" s="76" t="s">
        <v>10</v>
      </c>
      <c r="B13" s="77"/>
      <c r="D13" s="24" t="s">
        <v>13</v>
      </c>
    </row>
    <row r="14" spans="1:7" x14ac:dyDescent="0.35">
      <c r="A14" s="13" t="s">
        <v>11</v>
      </c>
      <c r="B14" s="95" t="s">
        <v>12</v>
      </c>
      <c r="D14" s="25" t="s">
        <v>12</v>
      </c>
    </row>
    <row r="15" spans="1:7" x14ac:dyDescent="0.35">
      <c r="D15" s="25" t="s">
        <v>14</v>
      </c>
    </row>
    <row r="16" spans="1:7" ht="15.5" x14ac:dyDescent="0.35">
      <c r="A16" s="78" t="s">
        <v>16</v>
      </c>
      <c r="B16" s="79"/>
      <c r="C16" s="79"/>
      <c r="D16" s="80" t="s">
        <v>15</v>
      </c>
      <c r="E16" s="79"/>
      <c r="F16" s="79"/>
      <c r="G16" s="79"/>
    </row>
    <row r="17" spans="1:7" x14ac:dyDescent="0.35">
      <c r="A17" s="81" t="s">
        <v>17</v>
      </c>
      <c r="B17" s="81" t="s">
        <v>18</v>
      </c>
      <c r="C17" s="81" t="s">
        <v>19</v>
      </c>
      <c r="D17" s="82" t="s">
        <v>20</v>
      </c>
      <c r="E17" s="81" t="s">
        <v>21</v>
      </c>
      <c r="F17" s="81" t="s">
        <v>22</v>
      </c>
      <c r="G17" s="83" t="s">
        <v>23</v>
      </c>
    </row>
    <row r="18" spans="1:7" ht="35" customHeight="1" x14ac:dyDescent="0.55000000000000004">
      <c r="A18" s="84">
        <f>'MRR Waterfall'!G37</f>
        <v>16.680033125734678</v>
      </c>
      <c r="B18" s="85">
        <f>'MRR Waterfall'!B38</f>
        <v>2378.1900056830277</v>
      </c>
      <c r="C18" s="85">
        <f>IF(A18&gt;0,B18/A18,0)</f>
        <v>142.5770553185445</v>
      </c>
      <c r="D18" s="86">
        <f>SUM('MRR Waterfall'!B3:B38)</f>
        <v>62918.82432952099</v>
      </c>
      <c r="E18" s="85">
        <f>IF(Dashboard!B10&gt;0,D18/Dashboard!B10,0)</f>
        <v>1258.3764865904197</v>
      </c>
      <c r="F18" s="87">
        <f>Dashboard!B8</f>
        <v>0.57549354799247687</v>
      </c>
      <c r="G18" s="88">
        <f>Dashboard!B10-A18</f>
        <v>33.319966874265319</v>
      </c>
    </row>
    <row r="20" spans="1:7" ht="15.5" x14ac:dyDescent="0.35">
      <c r="A20" s="89" t="s">
        <v>71</v>
      </c>
      <c r="B20" s="89"/>
      <c r="C20" s="89"/>
      <c r="D20" s="89"/>
      <c r="E20" s="89"/>
      <c r="F20" s="89"/>
      <c r="G20" s="89"/>
    </row>
    <row r="21" spans="1:7" x14ac:dyDescent="0.35">
      <c r="A21" s="1" t="s">
        <v>72</v>
      </c>
    </row>
    <row r="22" spans="1:7" x14ac:dyDescent="0.35">
      <c r="A22" s="1" t="s">
        <v>73</v>
      </c>
    </row>
    <row r="23" spans="1:7" x14ac:dyDescent="0.35">
      <c r="A23" s="1" t="s">
        <v>74</v>
      </c>
    </row>
    <row r="24" spans="1:7" x14ac:dyDescent="0.35">
      <c r="A24" s="1" t="s">
        <v>75</v>
      </c>
    </row>
    <row r="25" spans="1:7" x14ac:dyDescent="0.35">
      <c r="A25" s="1" t="s">
        <v>76</v>
      </c>
    </row>
    <row r="26" spans="1:7" x14ac:dyDescent="0.35">
      <c r="A26" s="1" t="s">
        <v>77</v>
      </c>
    </row>
    <row r="28" spans="1:7" ht="15.5" outlineLevel="1" x14ac:dyDescent="0.35">
      <c r="A28" s="78" t="s">
        <v>78</v>
      </c>
      <c r="B28" s="89"/>
      <c r="C28" s="89"/>
      <c r="D28" s="14"/>
      <c r="E28" s="14"/>
      <c r="F28" s="14"/>
      <c r="G28" s="14"/>
    </row>
    <row r="29" spans="1:7" outlineLevel="1" x14ac:dyDescent="0.35">
      <c r="A29" s="90" t="s">
        <v>63</v>
      </c>
      <c r="B29" s="90" t="s">
        <v>12</v>
      </c>
    </row>
    <row r="30" spans="1:7" outlineLevel="1" x14ac:dyDescent="0.35">
      <c r="A30" s="3" t="s">
        <v>26</v>
      </c>
      <c r="B30" s="15">
        <f>(1-B5)^0</f>
        <v>1</v>
      </c>
    </row>
    <row r="31" spans="1:7" outlineLevel="1" x14ac:dyDescent="0.35">
      <c r="A31" s="3" t="s">
        <v>27</v>
      </c>
      <c r="B31" s="15">
        <f>(1-B5)^1</f>
        <v>0.92999999999999994</v>
      </c>
    </row>
    <row r="32" spans="1:7" outlineLevel="1" x14ac:dyDescent="0.35">
      <c r="A32" s="3" t="s">
        <v>28</v>
      </c>
      <c r="B32" s="15">
        <f>(1-B5)^2</f>
        <v>0.86489999999999989</v>
      </c>
    </row>
    <row r="33" spans="1:2" outlineLevel="1" x14ac:dyDescent="0.35">
      <c r="A33" s="3" t="s">
        <v>29</v>
      </c>
      <c r="B33" s="15">
        <f>(1-B5)^3</f>
        <v>0.80435699999999988</v>
      </c>
    </row>
    <row r="34" spans="1:2" outlineLevel="1" x14ac:dyDescent="0.35">
      <c r="A34" s="3" t="s">
        <v>30</v>
      </c>
      <c r="B34" s="15">
        <f>(1-B5)^4</f>
        <v>0.74805200999999977</v>
      </c>
    </row>
    <row r="35" spans="1:2" outlineLevel="1" x14ac:dyDescent="0.35">
      <c r="A35" s="3" t="s">
        <v>31</v>
      </c>
      <c r="B35" s="15">
        <f>(1-B5)^5</f>
        <v>0.69568836929999978</v>
      </c>
    </row>
    <row r="36" spans="1:2" outlineLevel="1" x14ac:dyDescent="0.35">
      <c r="A36" s="3" t="s">
        <v>32</v>
      </c>
      <c r="B36" s="15">
        <f>(1-B5)^6</f>
        <v>0.64699018344899972</v>
      </c>
    </row>
    <row r="37" spans="1:2" outlineLevel="1" x14ac:dyDescent="0.35">
      <c r="A37" s="3" t="s">
        <v>33</v>
      </c>
      <c r="B37" s="15">
        <f>(1-B5)^7</f>
        <v>0.60170087060756972</v>
      </c>
    </row>
    <row r="38" spans="1:2" outlineLevel="1" x14ac:dyDescent="0.35">
      <c r="A38" s="3" t="s">
        <v>34</v>
      </c>
      <c r="B38" s="15">
        <f>(1-B5)^8</f>
        <v>0.55958180966503979</v>
      </c>
    </row>
    <row r="39" spans="1:2" outlineLevel="1" x14ac:dyDescent="0.35">
      <c r="A39" s="3" t="s">
        <v>35</v>
      </c>
      <c r="B39" s="15">
        <f>(1-B5)^9</f>
        <v>0.52041108298848693</v>
      </c>
    </row>
    <row r="40" spans="1:2" outlineLevel="1" x14ac:dyDescent="0.35">
      <c r="A40" s="3" t="s">
        <v>36</v>
      </c>
      <c r="B40" s="15">
        <f>(1-B5)^10</f>
        <v>0.48398230717929286</v>
      </c>
    </row>
    <row r="41" spans="1:2" outlineLevel="1" x14ac:dyDescent="0.35">
      <c r="A41" s="3" t="s">
        <v>37</v>
      </c>
      <c r="B41" s="15">
        <f>(1-B5)^11</f>
        <v>0.45010354567674232</v>
      </c>
    </row>
    <row r="42" spans="1:2" outlineLevel="1" x14ac:dyDescent="0.35">
      <c r="A42" s="3" t="s">
        <v>38</v>
      </c>
      <c r="B42" s="15">
        <f>(1-B5)^12</f>
        <v>0.41859629747937033</v>
      </c>
    </row>
    <row r="43" spans="1:2" outlineLevel="1" x14ac:dyDescent="0.35">
      <c r="A43" s="3" t="s">
        <v>39</v>
      </c>
      <c r="B43" s="15">
        <f>(1-B5)^13</f>
        <v>0.38929455665581436</v>
      </c>
    </row>
    <row r="44" spans="1:2" outlineLevel="1" x14ac:dyDescent="0.35">
      <c r="A44" s="3" t="s">
        <v>40</v>
      </c>
      <c r="B44" s="15">
        <f>(1-B5)^14</f>
        <v>0.36204393768990734</v>
      </c>
    </row>
    <row r="45" spans="1:2" outlineLevel="1" x14ac:dyDescent="0.35">
      <c r="A45" s="3" t="s">
        <v>41</v>
      </c>
      <c r="B45" s="15">
        <f>(1-B5)^15</f>
        <v>0.33670086205161381</v>
      </c>
    </row>
    <row r="46" spans="1:2" outlineLevel="1" x14ac:dyDescent="0.35">
      <c r="A46" s="3" t="s">
        <v>42</v>
      </c>
      <c r="B46" s="15">
        <f>(1-B5)^16</f>
        <v>0.31313180170800081</v>
      </c>
    </row>
    <row r="47" spans="1:2" outlineLevel="1" x14ac:dyDescent="0.35">
      <c r="A47" s="3" t="s">
        <v>43</v>
      </c>
      <c r="B47" s="15">
        <f>(1-B5)^17</f>
        <v>0.29121257558844071</v>
      </c>
    </row>
    <row r="48" spans="1:2" outlineLevel="1" x14ac:dyDescent="0.35">
      <c r="A48" s="3" t="s">
        <v>44</v>
      </c>
      <c r="B48" s="15">
        <f>(1-B5)^18</f>
        <v>0.27082769529724987</v>
      </c>
    </row>
    <row r="49" spans="1:2" outlineLevel="1" x14ac:dyDescent="0.35">
      <c r="A49" s="3" t="s">
        <v>45</v>
      </c>
      <c r="B49" s="15">
        <f>(1-B5)^19</f>
        <v>0.2518697566264424</v>
      </c>
    </row>
    <row r="50" spans="1:2" outlineLevel="1" x14ac:dyDescent="0.35">
      <c r="A50" s="3" t="s">
        <v>46</v>
      </c>
      <c r="B50" s="15">
        <f>(1-B5)^20</f>
        <v>0.23423887366259136</v>
      </c>
    </row>
    <row r="51" spans="1:2" outlineLevel="1" x14ac:dyDescent="0.35">
      <c r="A51" s="3" t="s">
        <v>47</v>
      </c>
      <c r="B51" s="15">
        <f>(1-B5)^21</f>
        <v>0.21784215250620997</v>
      </c>
    </row>
    <row r="52" spans="1:2" outlineLevel="1" x14ac:dyDescent="0.35">
      <c r="A52" s="3" t="s">
        <v>48</v>
      </c>
      <c r="B52" s="15">
        <f>(1-B5)^22</f>
        <v>0.20259320183077525</v>
      </c>
    </row>
    <row r="53" spans="1:2" outlineLevel="1" x14ac:dyDescent="0.35">
      <c r="A53" s="3" t="s">
        <v>49</v>
      </c>
      <c r="B53" s="15">
        <f>(1-B5)^23</f>
        <v>0.18841167770262096</v>
      </c>
    </row>
    <row r="54" spans="1:2" outlineLevel="1" x14ac:dyDescent="0.35">
      <c r="A54" s="3" t="s">
        <v>50</v>
      </c>
      <c r="B54" s="15">
        <f>(1-B5)^24</f>
        <v>0.1752228602634375</v>
      </c>
    </row>
    <row r="55" spans="1:2" outlineLevel="1" x14ac:dyDescent="0.35">
      <c r="A55" s="3" t="s">
        <v>51</v>
      </c>
      <c r="B55" s="15">
        <f>(1-B5)^25</f>
        <v>0.16295726004499683</v>
      </c>
    </row>
    <row r="56" spans="1:2" outlineLevel="1" x14ac:dyDescent="0.35">
      <c r="A56" s="3" t="s">
        <v>52</v>
      </c>
      <c r="B56" s="15">
        <f>(1-B5)^26</f>
        <v>0.15155025184184706</v>
      </c>
    </row>
    <row r="57" spans="1:2" outlineLevel="1" x14ac:dyDescent="0.35">
      <c r="A57" s="3" t="s">
        <v>53</v>
      </c>
      <c r="B57" s="15">
        <f>(1-B5)^27</f>
        <v>0.14094173421291775</v>
      </c>
    </row>
    <row r="58" spans="1:2" outlineLevel="1" x14ac:dyDescent="0.35">
      <c r="A58" s="3" t="s">
        <v>54</v>
      </c>
      <c r="B58" s="15">
        <f>(1-B5)^28</f>
        <v>0.1310758128180135</v>
      </c>
    </row>
    <row r="59" spans="1:2" outlineLevel="1" x14ac:dyDescent="0.35">
      <c r="A59" s="3" t="s">
        <v>55</v>
      </c>
      <c r="B59" s="15">
        <f>(1-B5)^29</f>
        <v>0.12190050592075255</v>
      </c>
    </row>
    <row r="60" spans="1:2" outlineLevel="1" x14ac:dyDescent="0.35">
      <c r="A60" s="3" t="s">
        <v>56</v>
      </c>
      <c r="B60" s="15">
        <f>(1-B5)^30</f>
        <v>0.11336747050629986</v>
      </c>
    </row>
    <row r="61" spans="1:2" outlineLevel="1" x14ac:dyDescent="0.35">
      <c r="A61" s="3" t="s">
        <v>57</v>
      </c>
      <c r="B61" s="15">
        <f>(1-B5)^31</f>
        <v>0.10543174757085887</v>
      </c>
    </row>
    <row r="62" spans="1:2" outlineLevel="1" x14ac:dyDescent="0.35">
      <c r="A62" s="3" t="s">
        <v>58</v>
      </c>
      <c r="B62" s="15">
        <f>(1-B5)^32</f>
        <v>9.8051525240898746E-2</v>
      </c>
    </row>
    <row r="63" spans="1:2" outlineLevel="1" x14ac:dyDescent="0.35">
      <c r="A63" s="3" t="s">
        <v>59</v>
      </c>
      <c r="B63" s="15">
        <f>(1-B5)^33</f>
        <v>9.1187918474035831E-2</v>
      </c>
    </row>
    <row r="64" spans="1:2" outlineLevel="1" x14ac:dyDescent="0.35">
      <c r="A64" s="3" t="s">
        <v>60</v>
      </c>
      <c r="B64" s="15">
        <f>(1-B5)^34</f>
        <v>8.4804764180853309E-2</v>
      </c>
    </row>
    <row r="65" spans="1:2" outlineLevel="1" x14ac:dyDescent="0.35">
      <c r="A65" s="3" t="s">
        <v>61</v>
      </c>
      <c r="B65" s="15">
        <f>(1-B5)^35</f>
        <v>7.8868430688193575E-2</v>
      </c>
    </row>
  </sheetData>
  <dataValidations count="1">
    <dataValidation type="list" allowBlank="1" showInputMessage="1" showErrorMessage="1" sqref="B14" xr:uid="{1D47D8D4-9EE4-4F84-9163-302CF18C004F}">
      <formula1>"Retention %,MRR ($),Churned Customers,Cumulative Revenue ($),LTV per Customer ($)"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D6EF-FE35-4175-83AE-CCD95AED1A26}">
  <dimension ref="A1:AL3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baseColWidth="10" defaultColWidth="8.81640625" defaultRowHeight="14.5" x14ac:dyDescent="0.35"/>
  <cols>
    <col min="1" max="1" width="13.81640625" customWidth="1"/>
    <col min="2" max="2" width="10.1796875" customWidth="1"/>
    <col min="3" max="38" width="11.1796875" customWidth="1"/>
  </cols>
  <sheetData>
    <row r="1" spans="1:38" x14ac:dyDescent="0.35">
      <c r="A1" s="50" t="s">
        <v>24</v>
      </c>
      <c r="B1" s="50" t="s">
        <v>25</v>
      </c>
      <c r="C1" s="50" t="s">
        <v>26</v>
      </c>
      <c r="D1" s="50" t="s">
        <v>27</v>
      </c>
      <c r="E1" s="50" t="s">
        <v>28</v>
      </c>
      <c r="F1" s="50" t="s">
        <v>29</v>
      </c>
      <c r="G1" s="50" t="s">
        <v>30</v>
      </c>
      <c r="H1" s="50" t="s">
        <v>31</v>
      </c>
      <c r="I1" s="50" t="s">
        <v>32</v>
      </c>
      <c r="J1" s="50" t="s">
        <v>33</v>
      </c>
      <c r="K1" s="50" t="s">
        <v>34</v>
      </c>
      <c r="L1" s="50" t="s">
        <v>35</v>
      </c>
      <c r="M1" s="50" t="s">
        <v>36</v>
      </c>
      <c r="N1" s="50" t="s">
        <v>37</v>
      </c>
      <c r="O1" s="50" t="s">
        <v>38</v>
      </c>
      <c r="P1" s="50" t="s">
        <v>39</v>
      </c>
      <c r="Q1" s="50" t="s">
        <v>40</v>
      </c>
      <c r="R1" s="50" t="s">
        <v>41</v>
      </c>
      <c r="S1" s="50" t="s">
        <v>42</v>
      </c>
      <c r="T1" s="50" t="s">
        <v>43</v>
      </c>
      <c r="U1" s="50" t="s">
        <v>44</v>
      </c>
      <c r="V1" s="50" t="s">
        <v>45</v>
      </c>
      <c r="W1" s="50" t="s">
        <v>46</v>
      </c>
      <c r="X1" s="50" t="s">
        <v>47</v>
      </c>
      <c r="Y1" s="50" t="s">
        <v>48</v>
      </c>
      <c r="Z1" s="50" t="s">
        <v>49</v>
      </c>
      <c r="AA1" s="50" t="s">
        <v>50</v>
      </c>
      <c r="AB1" s="50" t="s">
        <v>51</v>
      </c>
      <c r="AC1" s="50" t="s">
        <v>52</v>
      </c>
      <c r="AD1" s="50" t="s">
        <v>53</v>
      </c>
      <c r="AE1" s="50" t="s">
        <v>54</v>
      </c>
      <c r="AF1" s="50" t="s">
        <v>55</v>
      </c>
      <c r="AG1" s="50" t="s">
        <v>56</v>
      </c>
      <c r="AH1" s="50" t="s">
        <v>57</v>
      </c>
      <c r="AI1" s="50" t="s">
        <v>58</v>
      </c>
      <c r="AJ1" s="50" t="s">
        <v>59</v>
      </c>
      <c r="AK1" s="50" t="s">
        <v>60</v>
      </c>
      <c r="AL1" s="50" t="s">
        <v>61</v>
      </c>
    </row>
    <row r="2" spans="1:38" x14ac:dyDescent="0.35">
      <c r="A2" s="2"/>
      <c r="B2" s="2"/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  <c r="Y2" s="2">
        <v>22</v>
      </c>
      <c r="Z2" s="2">
        <v>23</v>
      </c>
      <c r="AA2" s="2">
        <v>24</v>
      </c>
      <c r="AB2" s="2">
        <v>25</v>
      </c>
      <c r="AC2" s="2">
        <v>26</v>
      </c>
      <c r="AD2" s="2">
        <v>27</v>
      </c>
      <c r="AE2" s="2">
        <v>28</v>
      </c>
      <c r="AF2" s="2">
        <v>29</v>
      </c>
      <c r="AG2" s="2">
        <v>30</v>
      </c>
      <c r="AH2" s="2">
        <v>31</v>
      </c>
      <c r="AI2" s="2">
        <v>32</v>
      </c>
      <c r="AJ2" s="2">
        <v>33</v>
      </c>
      <c r="AK2" s="2">
        <v>34</v>
      </c>
      <c r="AL2" s="2">
        <v>35</v>
      </c>
    </row>
    <row r="3" spans="1:38" x14ac:dyDescent="0.35">
      <c r="A3" s="39" t="s">
        <v>85</v>
      </c>
      <c r="B3" s="43">
        <v>1</v>
      </c>
      <c r="C3" s="48">
        <f>IF(Dashboard!$B$14="Retention %",1,IF(Dashboard!$B$14="MRR ($)",$B3*Dashboard!$B$4,IF(Dashboard!$B$14="Churned Customers",0,IF(Dashboard!$B$14="Cumulative Revenue ($)",$B3*Dashboard!$B$4,IF(Dashboard!$B$14="LTV per Customer ($)",IF($B3&gt;0,Dashboard!$B$4,0),"")))))</f>
        <v>1</v>
      </c>
      <c r="D3" s="35">
        <f>IF(Dashboard!$B$14="Retention %",(1-Dashboard!$B$5)^1,IF(Dashboard!$B$14="MRR ($)",$B3*Dashboard!$B$4*(1-Dashboard!$B$5+Dashboard!$B$6)^1,IF(Dashboard!$B$14="Churned Customers",$B3*(1-(1-Dashboard!$B$5)^1),IF(Dashboard!$B$14="Cumulative Revenue ($)",$B3*Dashboard!$B$4*IF(Dashboard!$B$5=Dashboard!$B$6,2,((1-Dashboard!$B$5+Dashboard!$B$6)^2-1)/(Dashboard!$B$6-Dashboard!$B$5)),IF(Dashboard!$B$14="LTV per Customer ($)",IF($B3&gt;0,Dashboard!$B$4*IF(Dashboard!$B$5=Dashboard!$B$6,2,((1-Dashboard!$B$5+Dashboard!$B$6)^2-1)/(Dashboard!$B$6-Dashboard!$B$5)),0),"")))))</f>
        <v>0.92999999999999994</v>
      </c>
      <c r="E3" s="35">
        <f>IF(Dashboard!$B$14="Retention %",(1-Dashboard!$B$5)^2,IF(Dashboard!$B$14="MRR ($)",$B3*Dashboard!$B$4*(1-Dashboard!$B$5+Dashboard!$B$6)^2,IF(Dashboard!$B$14="Churned Customers",$B3*(1-(1-Dashboard!$B$5)^2),IF(Dashboard!$B$14="Cumulative Revenue ($)",$B3*Dashboard!$B$4*IF(Dashboard!$B$5=Dashboard!$B$6,3,((1-Dashboard!$B$5+Dashboard!$B$6)^3-1)/(Dashboard!$B$6-Dashboard!$B$5)),IF(Dashboard!$B$14="LTV per Customer ($)",IF($B3&gt;0,Dashboard!$B$4*IF(Dashboard!$B$5=Dashboard!$B$6,3,((1-Dashboard!$B$5+Dashboard!$B$6)^3-1)/(Dashboard!$B$6-Dashboard!$B$5)),0),"")))))</f>
        <v>0.86489999999999989</v>
      </c>
      <c r="F3" s="35">
        <f>IF(Dashboard!$B$14="Retention %",(1-Dashboard!$B$5)^3,IF(Dashboard!$B$14="MRR ($)",$B3*Dashboard!$B$4*(1-Dashboard!$B$5+Dashboard!$B$6)^3,IF(Dashboard!$B$14="Churned Customers",$B3*(1-(1-Dashboard!$B$5)^3),IF(Dashboard!$B$14="Cumulative Revenue ($)",$B3*Dashboard!$B$4*IF(Dashboard!$B$5=Dashboard!$B$6,4,((1-Dashboard!$B$5+Dashboard!$B$6)^4-1)/(Dashboard!$B$6-Dashboard!$B$5)),IF(Dashboard!$B$14="LTV per Customer ($)",IF($B3&gt;0,Dashboard!$B$4*IF(Dashboard!$B$5=Dashboard!$B$6,4,((1-Dashboard!$B$5+Dashboard!$B$6)^4-1)/(Dashboard!$B$6-Dashboard!$B$5)),0),"")))))</f>
        <v>0.80435699999999988</v>
      </c>
      <c r="G3" s="35">
        <f>IF(Dashboard!$B$14="Retention %",(1-Dashboard!$B$5)^4,IF(Dashboard!$B$14="MRR ($)",$B3*Dashboard!$B$4*(1-Dashboard!$B$5+Dashboard!$B$6)^4,IF(Dashboard!$B$14="Churned Customers",$B3*(1-(1-Dashboard!$B$5)^4),IF(Dashboard!$B$14="Cumulative Revenue ($)",$B3*Dashboard!$B$4*IF(Dashboard!$B$5=Dashboard!$B$6,5,((1-Dashboard!$B$5+Dashboard!$B$6)^5-1)/(Dashboard!$B$6-Dashboard!$B$5)),IF(Dashboard!$B$14="LTV per Customer ($)",IF($B3&gt;0,Dashboard!$B$4*IF(Dashboard!$B$5=Dashboard!$B$6,5,((1-Dashboard!$B$5+Dashboard!$B$6)^5-1)/(Dashboard!$B$6-Dashboard!$B$5)),0),"")))))</f>
        <v>0.74805200999999977</v>
      </c>
      <c r="H3" s="35">
        <f>IF(Dashboard!$B$14="Retention %",(1-Dashboard!$B$5)^5,IF(Dashboard!$B$14="MRR ($)",$B3*Dashboard!$B$4*(1-Dashboard!$B$5+Dashboard!$B$6)^5,IF(Dashboard!$B$14="Churned Customers",$B3*(1-(1-Dashboard!$B$5)^5),IF(Dashboard!$B$14="Cumulative Revenue ($)",$B3*Dashboard!$B$4*IF(Dashboard!$B$5=Dashboard!$B$6,6,((1-Dashboard!$B$5+Dashboard!$B$6)^6-1)/(Dashboard!$B$6-Dashboard!$B$5)),IF(Dashboard!$B$14="LTV per Customer ($)",IF($B3&gt;0,Dashboard!$B$4*IF(Dashboard!$B$5=Dashboard!$B$6,6,((1-Dashboard!$B$5+Dashboard!$B$6)^6-1)/(Dashboard!$B$6-Dashboard!$B$5)),0),"")))))</f>
        <v>0.69568836929999978</v>
      </c>
      <c r="I3" s="35">
        <f>IF(Dashboard!$B$14="Retention %",(1-Dashboard!$B$5)^6,IF(Dashboard!$B$14="MRR ($)",$B3*Dashboard!$B$4*(1-Dashboard!$B$5+Dashboard!$B$6)^6,IF(Dashboard!$B$14="Churned Customers",$B3*(1-(1-Dashboard!$B$5)^6),IF(Dashboard!$B$14="Cumulative Revenue ($)",$B3*Dashboard!$B$4*IF(Dashboard!$B$5=Dashboard!$B$6,7,((1-Dashboard!$B$5+Dashboard!$B$6)^7-1)/(Dashboard!$B$6-Dashboard!$B$5)),IF(Dashboard!$B$14="LTV per Customer ($)",IF($B3&gt;0,Dashboard!$B$4*IF(Dashboard!$B$5=Dashboard!$B$6,7,((1-Dashboard!$B$5+Dashboard!$B$6)^7-1)/(Dashboard!$B$6-Dashboard!$B$5)),0),"")))))</f>
        <v>0.64699018344899972</v>
      </c>
      <c r="J3" s="35">
        <f>IF(Dashboard!$B$14="Retention %",(1-Dashboard!$B$5)^7,IF(Dashboard!$B$14="MRR ($)",$B3*Dashboard!$B$4*(1-Dashboard!$B$5+Dashboard!$B$6)^7,IF(Dashboard!$B$14="Churned Customers",$B3*(1-(1-Dashboard!$B$5)^7),IF(Dashboard!$B$14="Cumulative Revenue ($)",$B3*Dashboard!$B$4*IF(Dashboard!$B$5=Dashboard!$B$6,8,((1-Dashboard!$B$5+Dashboard!$B$6)^8-1)/(Dashboard!$B$6-Dashboard!$B$5)),IF(Dashboard!$B$14="LTV per Customer ($)",IF($B3&gt;0,Dashboard!$B$4*IF(Dashboard!$B$5=Dashboard!$B$6,8,((1-Dashboard!$B$5+Dashboard!$B$6)^8-1)/(Dashboard!$B$6-Dashboard!$B$5)),0),"")))))</f>
        <v>0.60170087060756972</v>
      </c>
      <c r="K3" s="35">
        <f>IF(Dashboard!$B$14="Retention %",(1-Dashboard!$B$5)^8,IF(Dashboard!$B$14="MRR ($)",$B3*Dashboard!$B$4*(1-Dashboard!$B$5+Dashboard!$B$6)^8,IF(Dashboard!$B$14="Churned Customers",$B3*(1-(1-Dashboard!$B$5)^8),IF(Dashboard!$B$14="Cumulative Revenue ($)",$B3*Dashboard!$B$4*IF(Dashboard!$B$5=Dashboard!$B$6,9,((1-Dashboard!$B$5+Dashboard!$B$6)^9-1)/(Dashboard!$B$6-Dashboard!$B$5)),IF(Dashboard!$B$14="LTV per Customer ($)",IF($B3&gt;0,Dashboard!$B$4*IF(Dashboard!$B$5=Dashboard!$B$6,9,((1-Dashboard!$B$5+Dashboard!$B$6)^9-1)/(Dashboard!$B$6-Dashboard!$B$5)),0),"")))))</f>
        <v>0.55958180966503979</v>
      </c>
      <c r="L3" s="35">
        <f>IF(Dashboard!$B$14="Retention %",(1-Dashboard!$B$5)^9,IF(Dashboard!$B$14="MRR ($)",$B3*Dashboard!$B$4*(1-Dashboard!$B$5+Dashboard!$B$6)^9,IF(Dashboard!$B$14="Churned Customers",$B3*(1-(1-Dashboard!$B$5)^9),IF(Dashboard!$B$14="Cumulative Revenue ($)",$B3*Dashboard!$B$4*IF(Dashboard!$B$5=Dashboard!$B$6,10,((1-Dashboard!$B$5+Dashboard!$B$6)^10-1)/(Dashboard!$B$6-Dashboard!$B$5)),IF(Dashboard!$B$14="LTV per Customer ($)",IF($B3&gt;0,Dashboard!$B$4*IF(Dashboard!$B$5=Dashboard!$B$6,10,((1-Dashboard!$B$5+Dashboard!$B$6)^10-1)/(Dashboard!$B$6-Dashboard!$B$5)),0),"")))))</f>
        <v>0.52041108298848693</v>
      </c>
      <c r="M3" s="18">
        <f>IF(Dashboard!$B$14="Retention %",(1-Dashboard!$B$5)^10,IF(Dashboard!$B$14="MRR ($)",$B3*Dashboard!$B$4*(1-Dashboard!$B$5+Dashboard!$B$6)^10,IF(Dashboard!$B$14="Churned Customers",$B3*(1-(1-Dashboard!$B$5)^10),IF(Dashboard!$B$14="Cumulative Revenue ($)",$B3*Dashboard!$B$4*IF(Dashboard!$B$5=Dashboard!$B$6,11,((1-Dashboard!$B$5+Dashboard!$B$6)^11-1)/(Dashboard!$B$6-Dashboard!$B$5)),IF(Dashboard!$B$14="LTV per Customer ($)",IF($B3&gt;0,Dashboard!$B$4*IF(Dashboard!$B$5=Dashboard!$B$6,11,((1-Dashboard!$B$5+Dashboard!$B$6)^11-1)/(Dashboard!$B$6-Dashboard!$B$5)),0),"")))))</f>
        <v>0.48398230717929286</v>
      </c>
      <c r="N3" s="18">
        <f>IF(Dashboard!$B$14="Retention %",(1-Dashboard!$B$5)^11,IF(Dashboard!$B$14="MRR ($)",$B3*Dashboard!$B$4*(1-Dashboard!$B$5+Dashboard!$B$6)^11,IF(Dashboard!$B$14="Churned Customers",$B3*(1-(1-Dashboard!$B$5)^11),IF(Dashboard!$B$14="Cumulative Revenue ($)",$B3*Dashboard!$B$4*IF(Dashboard!$B$5=Dashboard!$B$6,12,((1-Dashboard!$B$5+Dashboard!$B$6)^12-1)/(Dashboard!$B$6-Dashboard!$B$5)),IF(Dashboard!$B$14="LTV per Customer ($)",IF($B3&gt;0,Dashboard!$B$4*IF(Dashboard!$B$5=Dashboard!$B$6,12,((1-Dashboard!$B$5+Dashboard!$B$6)^12-1)/(Dashboard!$B$6-Dashboard!$B$5)),0),"")))))</f>
        <v>0.45010354567674232</v>
      </c>
      <c r="O3" s="18">
        <f>IF(Dashboard!$B$14="Retention %",(1-Dashboard!$B$5)^12,IF(Dashboard!$B$14="MRR ($)",$B3*Dashboard!$B$4*(1-Dashboard!$B$5+Dashboard!$B$6)^12,IF(Dashboard!$B$14="Churned Customers",$B3*(1-(1-Dashboard!$B$5)^12),IF(Dashboard!$B$14="Cumulative Revenue ($)",$B3*Dashboard!$B$4*IF(Dashboard!$B$5=Dashboard!$B$6,13,((1-Dashboard!$B$5+Dashboard!$B$6)^13-1)/(Dashboard!$B$6-Dashboard!$B$5)),IF(Dashboard!$B$14="LTV per Customer ($)",IF($B3&gt;0,Dashboard!$B$4*IF(Dashboard!$B$5=Dashboard!$B$6,13,((1-Dashboard!$B$5+Dashboard!$B$6)^13-1)/(Dashboard!$B$6-Dashboard!$B$5)),0),"")))))</f>
        <v>0.41859629747937033</v>
      </c>
      <c r="P3" s="18">
        <f>IF(Dashboard!$B$14="Retention %",(1-Dashboard!$B$5)^13,IF(Dashboard!$B$14="MRR ($)",$B3*Dashboard!$B$4*(1-Dashboard!$B$5+Dashboard!$B$6)^13,IF(Dashboard!$B$14="Churned Customers",$B3*(1-(1-Dashboard!$B$5)^13),IF(Dashboard!$B$14="Cumulative Revenue ($)",$B3*Dashboard!$B$4*IF(Dashboard!$B$5=Dashboard!$B$6,14,((1-Dashboard!$B$5+Dashboard!$B$6)^14-1)/(Dashboard!$B$6-Dashboard!$B$5)),IF(Dashboard!$B$14="LTV per Customer ($)",IF($B3&gt;0,Dashboard!$B$4*IF(Dashboard!$B$5=Dashboard!$B$6,14,((1-Dashboard!$B$5+Dashboard!$B$6)^14-1)/(Dashboard!$B$6-Dashboard!$B$5)),0),"")))))</f>
        <v>0.38929455665581436</v>
      </c>
      <c r="Q3" s="18">
        <f>IF(Dashboard!$B$14="Retention %",(1-Dashboard!$B$5)^14,IF(Dashboard!$B$14="MRR ($)",$B3*Dashboard!$B$4*(1-Dashboard!$B$5+Dashboard!$B$6)^14,IF(Dashboard!$B$14="Churned Customers",$B3*(1-(1-Dashboard!$B$5)^14),IF(Dashboard!$B$14="Cumulative Revenue ($)",$B3*Dashboard!$B$4*IF(Dashboard!$B$5=Dashboard!$B$6,15,((1-Dashboard!$B$5+Dashboard!$B$6)^15-1)/(Dashboard!$B$6-Dashboard!$B$5)),IF(Dashboard!$B$14="LTV per Customer ($)",IF($B3&gt;0,Dashboard!$B$4*IF(Dashboard!$B$5=Dashboard!$B$6,15,((1-Dashboard!$B$5+Dashboard!$B$6)^15-1)/(Dashboard!$B$6-Dashboard!$B$5)),0),"")))))</f>
        <v>0.36204393768990734</v>
      </c>
      <c r="R3" s="18">
        <f>IF(Dashboard!$B$14="Retention %",(1-Dashboard!$B$5)^15,IF(Dashboard!$B$14="MRR ($)",$B3*Dashboard!$B$4*(1-Dashboard!$B$5+Dashboard!$B$6)^15,IF(Dashboard!$B$14="Churned Customers",$B3*(1-(1-Dashboard!$B$5)^15),IF(Dashboard!$B$14="Cumulative Revenue ($)",$B3*Dashboard!$B$4*IF(Dashboard!$B$5=Dashboard!$B$6,16,((1-Dashboard!$B$5+Dashboard!$B$6)^16-1)/(Dashboard!$B$6-Dashboard!$B$5)),IF(Dashboard!$B$14="LTV per Customer ($)",IF($B3&gt;0,Dashboard!$B$4*IF(Dashboard!$B$5=Dashboard!$B$6,16,((1-Dashboard!$B$5+Dashboard!$B$6)^16-1)/(Dashboard!$B$6-Dashboard!$B$5)),0),"")))))</f>
        <v>0.33670086205161381</v>
      </c>
      <c r="S3" s="18">
        <f>IF(Dashboard!$B$14="Retention %",(1-Dashboard!$B$5)^16,IF(Dashboard!$B$14="MRR ($)",$B3*Dashboard!$B$4*(1-Dashboard!$B$5+Dashboard!$B$6)^16,IF(Dashboard!$B$14="Churned Customers",$B3*(1-(1-Dashboard!$B$5)^16),IF(Dashboard!$B$14="Cumulative Revenue ($)",$B3*Dashboard!$B$4*IF(Dashboard!$B$5=Dashboard!$B$6,17,((1-Dashboard!$B$5+Dashboard!$B$6)^17-1)/(Dashboard!$B$6-Dashboard!$B$5)),IF(Dashboard!$B$14="LTV per Customer ($)",IF($B3&gt;0,Dashboard!$B$4*IF(Dashboard!$B$5=Dashboard!$B$6,17,((1-Dashboard!$B$5+Dashboard!$B$6)^17-1)/(Dashboard!$B$6-Dashboard!$B$5)),0),"")))))</f>
        <v>0.31313180170800081</v>
      </c>
      <c r="T3" s="18">
        <f>IF(Dashboard!$B$14="Retention %",(1-Dashboard!$B$5)^17,IF(Dashboard!$B$14="MRR ($)",$B3*Dashboard!$B$4*(1-Dashboard!$B$5+Dashboard!$B$6)^17,IF(Dashboard!$B$14="Churned Customers",$B3*(1-(1-Dashboard!$B$5)^17),IF(Dashboard!$B$14="Cumulative Revenue ($)",$B3*Dashboard!$B$4*IF(Dashboard!$B$5=Dashboard!$B$6,18,((1-Dashboard!$B$5+Dashboard!$B$6)^18-1)/(Dashboard!$B$6-Dashboard!$B$5)),IF(Dashboard!$B$14="LTV per Customer ($)",IF($B3&gt;0,Dashboard!$B$4*IF(Dashboard!$B$5=Dashboard!$B$6,18,((1-Dashboard!$B$5+Dashboard!$B$6)^18-1)/(Dashboard!$B$6-Dashboard!$B$5)),0),"")))))</f>
        <v>0.29121257558844071</v>
      </c>
      <c r="U3" s="18">
        <f>IF(Dashboard!$B$14="Retention %",(1-Dashboard!$B$5)^18,IF(Dashboard!$B$14="MRR ($)",$B3*Dashboard!$B$4*(1-Dashboard!$B$5+Dashboard!$B$6)^18,IF(Dashboard!$B$14="Churned Customers",$B3*(1-(1-Dashboard!$B$5)^18),IF(Dashboard!$B$14="Cumulative Revenue ($)",$B3*Dashboard!$B$4*IF(Dashboard!$B$5=Dashboard!$B$6,19,((1-Dashboard!$B$5+Dashboard!$B$6)^19-1)/(Dashboard!$B$6-Dashboard!$B$5)),IF(Dashboard!$B$14="LTV per Customer ($)",IF($B3&gt;0,Dashboard!$B$4*IF(Dashboard!$B$5=Dashboard!$B$6,19,((1-Dashboard!$B$5+Dashboard!$B$6)^19-1)/(Dashboard!$B$6-Dashboard!$B$5)),0),"")))))</f>
        <v>0.27082769529724987</v>
      </c>
      <c r="V3" s="18">
        <f>IF(Dashboard!$B$14="Retention %",(1-Dashboard!$B$5)^19,IF(Dashboard!$B$14="MRR ($)",$B3*Dashboard!$B$4*(1-Dashboard!$B$5+Dashboard!$B$6)^19,IF(Dashboard!$B$14="Churned Customers",$B3*(1-(1-Dashboard!$B$5)^19),IF(Dashboard!$B$14="Cumulative Revenue ($)",$B3*Dashboard!$B$4*IF(Dashboard!$B$5=Dashboard!$B$6,20,((1-Dashboard!$B$5+Dashboard!$B$6)^20-1)/(Dashboard!$B$6-Dashboard!$B$5)),IF(Dashboard!$B$14="LTV per Customer ($)",IF($B3&gt;0,Dashboard!$B$4*IF(Dashboard!$B$5=Dashboard!$B$6,20,((1-Dashboard!$B$5+Dashboard!$B$6)^20-1)/(Dashboard!$B$6-Dashboard!$B$5)),0),"")))))</f>
        <v>0.2518697566264424</v>
      </c>
      <c r="W3" s="18">
        <f>IF(Dashboard!$B$14="Retention %",(1-Dashboard!$B$5)^20,IF(Dashboard!$B$14="MRR ($)",$B3*Dashboard!$B$4*(1-Dashboard!$B$5+Dashboard!$B$6)^20,IF(Dashboard!$B$14="Churned Customers",$B3*(1-(1-Dashboard!$B$5)^20),IF(Dashboard!$B$14="Cumulative Revenue ($)",$B3*Dashboard!$B$4*IF(Dashboard!$B$5=Dashboard!$B$6,21,((1-Dashboard!$B$5+Dashboard!$B$6)^21-1)/(Dashboard!$B$6-Dashboard!$B$5)),IF(Dashboard!$B$14="LTV per Customer ($)",IF($B3&gt;0,Dashboard!$B$4*IF(Dashboard!$B$5=Dashboard!$B$6,21,((1-Dashboard!$B$5+Dashboard!$B$6)^21-1)/(Dashboard!$B$6-Dashboard!$B$5)),0),"")))))</f>
        <v>0.23423887366259136</v>
      </c>
      <c r="X3" s="18">
        <f>IF(Dashboard!$B$14="Retention %",(1-Dashboard!$B$5)^21,IF(Dashboard!$B$14="MRR ($)",$B3*Dashboard!$B$4*(1-Dashboard!$B$5+Dashboard!$B$6)^21,IF(Dashboard!$B$14="Churned Customers",$B3*(1-(1-Dashboard!$B$5)^21),IF(Dashboard!$B$14="Cumulative Revenue ($)",$B3*Dashboard!$B$4*IF(Dashboard!$B$5=Dashboard!$B$6,22,((1-Dashboard!$B$5+Dashboard!$B$6)^22-1)/(Dashboard!$B$6-Dashboard!$B$5)),IF(Dashboard!$B$14="LTV per Customer ($)",IF($B3&gt;0,Dashboard!$B$4*IF(Dashboard!$B$5=Dashboard!$B$6,22,((1-Dashboard!$B$5+Dashboard!$B$6)^22-1)/(Dashboard!$B$6-Dashboard!$B$5)),0),"")))))</f>
        <v>0.21784215250620997</v>
      </c>
      <c r="Y3" s="18">
        <f>IF(Dashboard!$B$14="Retention %",(1-Dashboard!$B$5)^22,IF(Dashboard!$B$14="MRR ($)",$B3*Dashboard!$B$4*(1-Dashboard!$B$5+Dashboard!$B$6)^22,IF(Dashboard!$B$14="Churned Customers",$B3*(1-(1-Dashboard!$B$5)^22),IF(Dashboard!$B$14="Cumulative Revenue ($)",$B3*Dashboard!$B$4*IF(Dashboard!$B$5=Dashboard!$B$6,23,((1-Dashboard!$B$5+Dashboard!$B$6)^23-1)/(Dashboard!$B$6-Dashboard!$B$5)),IF(Dashboard!$B$14="LTV per Customer ($)",IF($B3&gt;0,Dashboard!$B$4*IF(Dashboard!$B$5=Dashboard!$B$6,23,((1-Dashboard!$B$5+Dashboard!$B$6)^23-1)/(Dashboard!$B$6-Dashboard!$B$5)),0),"")))))</f>
        <v>0.20259320183077525</v>
      </c>
      <c r="Z3" s="18">
        <f>IF(Dashboard!$B$14="Retention %",(1-Dashboard!$B$5)^23,IF(Dashboard!$B$14="MRR ($)",$B3*Dashboard!$B$4*(1-Dashboard!$B$5+Dashboard!$B$6)^23,IF(Dashboard!$B$14="Churned Customers",$B3*(1-(1-Dashboard!$B$5)^23),IF(Dashboard!$B$14="Cumulative Revenue ($)",$B3*Dashboard!$B$4*IF(Dashboard!$B$5=Dashboard!$B$6,24,((1-Dashboard!$B$5+Dashboard!$B$6)^24-1)/(Dashboard!$B$6-Dashboard!$B$5)),IF(Dashboard!$B$14="LTV per Customer ($)",IF($B3&gt;0,Dashboard!$B$4*IF(Dashboard!$B$5=Dashboard!$B$6,24,((1-Dashboard!$B$5+Dashboard!$B$6)^24-1)/(Dashboard!$B$6-Dashboard!$B$5)),0),"")))))</f>
        <v>0.18841167770262096</v>
      </c>
      <c r="AA3" s="18">
        <f>IF(Dashboard!$B$14="Retention %",(1-Dashboard!$B$5)^24,IF(Dashboard!$B$14="MRR ($)",$B3*Dashboard!$B$4*(1-Dashboard!$B$5+Dashboard!$B$6)^24,IF(Dashboard!$B$14="Churned Customers",$B3*(1-(1-Dashboard!$B$5)^24),IF(Dashboard!$B$14="Cumulative Revenue ($)",$B3*Dashboard!$B$4*IF(Dashboard!$B$5=Dashboard!$B$6,25,((1-Dashboard!$B$5+Dashboard!$B$6)^25-1)/(Dashboard!$B$6-Dashboard!$B$5)),IF(Dashboard!$B$14="LTV per Customer ($)",IF($B3&gt;0,Dashboard!$B$4*IF(Dashboard!$B$5=Dashboard!$B$6,25,((1-Dashboard!$B$5+Dashboard!$B$6)^25-1)/(Dashboard!$B$6-Dashboard!$B$5)),0),"")))))</f>
        <v>0.1752228602634375</v>
      </c>
      <c r="AB3" s="18">
        <f>IF(Dashboard!$B$14="Retention %",(1-Dashboard!$B$5)^25,IF(Dashboard!$B$14="MRR ($)",$B3*Dashboard!$B$4*(1-Dashboard!$B$5+Dashboard!$B$6)^25,IF(Dashboard!$B$14="Churned Customers",$B3*(1-(1-Dashboard!$B$5)^25),IF(Dashboard!$B$14="Cumulative Revenue ($)",$B3*Dashboard!$B$4*IF(Dashboard!$B$5=Dashboard!$B$6,26,((1-Dashboard!$B$5+Dashboard!$B$6)^26-1)/(Dashboard!$B$6-Dashboard!$B$5)),IF(Dashboard!$B$14="LTV per Customer ($)",IF($B3&gt;0,Dashboard!$B$4*IF(Dashboard!$B$5=Dashboard!$B$6,26,((1-Dashboard!$B$5+Dashboard!$B$6)^26-1)/(Dashboard!$B$6-Dashboard!$B$5)),0),"")))))</f>
        <v>0.16295726004499683</v>
      </c>
      <c r="AC3" s="18">
        <f>IF(Dashboard!$B$14="Retention %",(1-Dashboard!$B$5)^26,IF(Dashboard!$B$14="MRR ($)",$B3*Dashboard!$B$4*(1-Dashboard!$B$5+Dashboard!$B$6)^26,IF(Dashboard!$B$14="Churned Customers",$B3*(1-(1-Dashboard!$B$5)^26),IF(Dashboard!$B$14="Cumulative Revenue ($)",$B3*Dashboard!$B$4*IF(Dashboard!$B$5=Dashboard!$B$6,27,((1-Dashboard!$B$5+Dashboard!$B$6)^27-1)/(Dashboard!$B$6-Dashboard!$B$5)),IF(Dashboard!$B$14="LTV per Customer ($)",IF($B3&gt;0,Dashboard!$B$4*IF(Dashboard!$B$5=Dashboard!$B$6,27,((1-Dashboard!$B$5+Dashboard!$B$6)^27-1)/(Dashboard!$B$6-Dashboard!$B$5)),0),"")))))</f>
        <v>0.15155025184184706</v>
      </c>
      <c r="AD3" s="18">
        <f>IF(Dashboard!$B$14="Retention %",(1-Dashboard!$B$5)^27,IF(Dashboard!$B$14="MRR ($)",$B3*Dashboard!$B$4*(1-Dashboard!$B$5+Dashboard!$B$6)^27,IF(Dashboard!$B$14="Churned Customers",$B3*(1-(1-Dashboard!$B$5)^27),IF(Dashboard!$B$14="Cumulative Revenue ($)",$B3*Dashboard!$B$4*IF(Dashboard!$B$5=Dashboard!$B$6,28,((1-Dashboard!$B$5+Dashboard!$B$6)^28-1)/(Dashboard!$B$6-Dashboard!$B$5)),IF(Dashboard!$B$14="LTV per Customer ($)",IF($B3&gt;0,Dashboard!$B$4*IF(Dashboard!$B$5=Dashboard!$B$6,28,((1-Dashboard!$B$5+Dashboard!$B$6)^28-1)/(Dashboard!$B$6-Dashboard!$B$5)),0),"")))))</f>
        <v>0.14094173421291775</v>
      </c>
      <c r="AE3" s="18">
        <f>IF(Dashboard!$B$14="Retention %",(1-Dashboard!$B$5)^28,IF(Dashboard!$B$14="MRR ($)",$B3*Dashboard!$B$4*(1-Dashboard!$B$5+Dashboard!$B$6)^28,IF(Dashboard!$B$14="Churned Customers",$B3*(1-(1-Dashboard!$B$5)^28),IF(Dashboard!$B$14="Cumulative Revenue ($)",$B3*Dashboard!$B$4*IF(Dashboard!$B$5=Dashboard!$B$6,29,((1-Dashboard!$B$5+Dashboard!$B$6)^29-1)/(Dashboard!$B$6-Dashboard!$B$5)),IF(Dashboard!$B$14="LTV per Customer ($)",IF($B3&gt;0,Dashboard!$B$4*IF(Dashboard!$B$5=Dashboard!$B$6,29,((1-Dashboard!$B$5+Dashboard!$B$6)^29-1)/(Dashboard!$B$6-Dashboard!$B$5)),0),"")))))</f>
        <v>0.1310758128180135</v>
      </c>
      <c r="AF3" s="18">
        <f>IF(Dashboard!$B$14="Retention %",(1-Dashboard!$B$5)^29,IF(Dashboard!$B$14="MRR ($)",$B3*Dashboard!$B$4*(1-Dashboard!$B$5+Dashboard!$B$6)^29,IF(Dashboard!$B$14="Churned Customers",$B3*(1-(1-Dashboard!$B$5)^29),IF(Dashboard!$B$14="Cumulative Revenue ($)",$B3*Dashboard!$B$4*IF(Dashboard!$B$5=Dashboard!$B$6,30,((1-Dashboard!$B$5+Dashboard!$B$6)^30-1)/(Dashboard!$B$6-Dashboard!$B$5)),IF(Dashboard!$B$14="LTV per Customer ($)",IF($B3&gt;0,Dashboard!$B$4*IF(Dashboard!$B$5=Dashboard!$B$6,30,((1-Dashboard!$B$5+Dashboard!$B$6)^30-1)/(Dashboard!$B$6-Dashboard!$B$5)),0),"")))))</f>
        <v>0.12190050592075255</v>
      </c>
      <c r="AG3" s="18">
        <f>IF(Dashboard!$B$14="Retention %",(1-Dashboard!$B$5)^30,IF(Dashboard!$B$14="MRR ($)",$B3*Dashboard!$B$4*(1-Dashboard!$B$5+Dashboard!$B$6)^30,IF(Dashboard!$B$14="Churned Customers",$B3*(1-(1-Dashboard!$B$5)^30),IF(Dashboard!$B$14="Cumulative Revenue ($)",$B3*Dashboard!$B$4*IF(Dashboard!$B$5=Dashboard!$B$6,31,((1-Dashboard!$B$5+Dashboard!$B$6)^31-1)/(Dashboard!$B$6-Dashboard!$B$5)),IF(Dashboard!$B$14="LTV per Customer ($)",IF($B3&gt;0,Dashboard!$B$4*IF(Dashboard!$B$5=Dashboard!$B$6,31,((1-Dashboard!$B$5+Dashboard!$B$6)^31-1)/(Dashboard!$B$6-Dashboard!$B$5)),0),"")))))</f>
        <v>0.11336747050629986</v>
      </c>
      <c r="AH3" s="18">
        <f>IF(Dashboard!$B$14="Retention %",(1-Dashboard!$B$5)^31,IF(Dashboard!$B$14="MRR ($)",$B3*Dashboard!$B$4*(1-Dashboard!$B$5+Dashboard!$B$6)^31,IF(Dashboard!$B$14="Churned Customers",$B3*(1-(1-Dashboard!$B$5)^31),IF(Dashboard!$B$14="Cumulative Revenue ($)",$B3*Dashboard!$B$4*IF(Dashboard!$B$5=Dashboard!$B$6,32,((1-Dashboard!$B$5+Dashboard!$B$6)^32-1)/(Dashboard!$B$6-Dashboard!$B$5)),IF(Dashboard!$B$14="LTV per Customer ($)",IF($B3&gt;0,Dashboard!$B$4*IF(Dashboard!$B$5=Dashboard!$B$6,32,((1-Dashboard!$B$5+Dashboard!$B$6)^32-1)/(Dashboard!$B$6-Dashboard!$B$5)),0),"")))))</f>
        <v>0.10543174757085887</v>
      </c>
      <c r="AI3" s="18">
        <f>IF(Dashboard!$B$14="Retention %",(1-Dashboard!$B$5)^32,IF(Dashboard!$B$14="MRR ($)",$B3*Dashboard!$B$4*(1-Dashboard!$B$5+Dashboard!$B$6)^32,IF(Dashboard!$B$14="Churned Customers",$B3*(1-(1-Dashboard!$B$5)^32),IF(Dashboard!$B$14="Cumulative Revenue ($)",$B3*Dashboard!$B$4*IF(Dashboard!$B$5=Dashboard!$B$6,33,((1-Dashboard!$B$5+Dashboard!$B$6)^33-1)/(Dashboard!$B$6-Dashboard!$B$5)),IF(Dashboard!$B$14="LTV per Customer ($)",IF($B3&gt;0,Dashboard!$B$4*IF(Dashboard!$B$5=Dashboard!$B$6,33,((1-Dashboard!$B$5+Dashboard!$B$6)^33-1)/(Dashboard!$B$6-Dashboard!$B$5)),0),"")))))</f>
        <v>9.8051525240898746E-2</v>
      </c>
      <c r="AJ3" s="18">
        <f>IF(Dashboard!$B$14="Retention %",(1-Dashboard!$B$5)^33,IF(Dashboard!$B$14="MRR ($)",$B3*Dashboard!$B$4*(1-Dashboard!$B$5+Dashboard!$B$6)^33,IF(Dashboard!$B$14="Churned Customers",$B3*(1-(1-Dashboard!$B$5)^33),IF(Dashboard!$B$14="Cumulative Revenue ($)",$B3*Dashboard!$B$4*IF(Dashboard!$B$5=Dashboard!$B$6,34,((1-Dashboard!$B$5+Dashboard!$B$6)^34-1)/(Dashboard!$B$6-Dashboard!$B$5)),IF(Dashboard!$B$14="LTV per Customer ($)",IF($B3&gt;0,Dashboard!$B$4*IF(Dashboard!$B$5=Dashboard!$B$6,34,((1-Dashboard!$B$5+Dashboard!$B$6)^34-1)/(Dashboard!$B$6-Dashboard!$B$5)),0),"")))))</f>
        <v>9.1187918474035831E-2</v>
      </c>
      <c r="AK3" s="18">
        <f>IF(Dashboard!$B$14="Retention %",(1-Dashboard!$B$5)^34,IF(Dashboard!$B$14="MRR ($)",$B3*Dashboard!$B$4*(1-Dashboard!$B$5+Dashboard!$B$6)^34,IF(Dashboard!$B$14="Churned Customers",$B3*(1-(1-Dashboard!$B$5)^34),IF(Dashboard!$B$14="Cumulative Revenue ($)",$B3*Dashboard!$B$4*IF(Dashboard!$B$5=Dashboard!$B$6,35,((1-Dashboard!$B$5+Dashboard!$B$6)^35-1)/(Dashboard!$B$6-Dashboard!$B$5)),IF(Dashboard!$B$14="LTV per Customer ($)",IF($B3&gt;0,Dashboard!$B$4*IF(Dashboard!$B$5=Dashboard!$B$6,35,((1-Dashboard!$B$5+Dashboard!$B$6)^35-1)/(Dashboard!$B$6-Dashboard!$B$5)),0),"")))))</f>
        <v>8.4804764180853309E-2</v>
      </c>
      <c r="AL3" s="20">
        <f>IF(Dashboard!$B$14="Retention %",(1-Dashboard!$B$5)^35,IF(Dashboard!$B$14="MRR ($)",$B3*Dashboard!$B$4*(1-Dashboard!$B$5+Dashboard!$B$6)^35,IF(Dashboard!$B$14="Churned Customers",$B3*(1-(1-Dashboard!$B$5)^35),IF(Dashboard!$B$14="Cumulative Revenue ($)",$B3*Dashboard!$B$4*IF(Dashboard!$B$5=Dashboard!$B$6,36,((1-Dashboard!$B$5+Dashboard!$B$6)^36-1)/(Dashboard!$B$6-Dashboard!$B$5)),IF(Dashboard!$B$14="LTV per Customer ($)",IF($B3&gt;0,Dashboard!$B$4*IF(Dashboard!$B$5=Dashboard!$B$6,36,((1-Dashboard!$B$5+Dashboard!$B$6)^36-1)/(Dashboard!$B$6-Dashboard!$B$5)),0),"")))))</f>
        <v>7.8868430688193575E-2</v>
      </c>
    </row>
    <row r="4" spans="1:38" x14ac:dyDescent="0.35">
      <c r="A4" s="40" t="s">
        <v>86</v>
      </c>
      <c r="B4" s="44">
        <v>1</v>
      </c>
      <c r="C4" s="46">
        <f>IF(Dashboard!$B$14="Retention %",1,IF(Dashboard!$B$14="MRR ($)",$B4*Dashboard!$B$4,IF(Dashboard!$B$14="Churned Customers",0,IF(Dashboard!$B$14="Cumulative Revenue ($)",$B4*Dashboard!$B$4,IF(Dashboard!$B$14="LTV per Customer ($)",IF($B4&gt;0,Dashboard!$B$4,0),"")))))</f>
        <v>1</v>
      </c>
      <c r="D4" s="49">
        <f>IF(Dashboard!$B$14="Retention %",(1-Dashboard!$B$5)^1,IF(Dashboard!$B$14="MRR ($)",$B4*Dashboard!$B$4*(1-Dashboard!$B$5+Dashboard!$B$6)^1,IF(Dashboard!$B$14="Churned Customers",$B4*(1-(1-Dashboard!$B$5)^1),IF(Dashboard!$B$14="Cumulative Revenue ($)",$B4*Dashboard!$B$4*IF(Dashboard!$B$5=Dashboard!$B$6,2,((1-Dashboard!$B$5+Dashboard!$B$6)^2-1)/(Dashboard!$B$6-Dashboard!$B$5)),IF(Dashboard!$B$14="LTV per Customer ($)",IF($B4&gt;0,Dashboard!$B$4*IF(Dashboard!$B$5=Dashboard!$B$6,2,((1-Dashboard!$B$5+Dashboard!$B$6)^2-1)/(Dashboard!$B$6-Dashboard!$B$5)),0),"")))))</f>
        <v>0.92999999999999994</v>
      </c>
      <c r="E4" s="36">
        <f>IF(Dashboard!$B$14="Retention %",(1-Dashboard!$B$5)^2,IF(Dashboard!$B$14="MRR ($)",$B4*Dashboard!$B$4*(1-Dashboard!$B$5+Dashboard!$B$6)^2,IF(Dashboard!$B$14="Churned Customers",$B4*(1-(1-Dashboard!$B$5)^2),IF(Dashboard!$B$14="Cumulative Revenue ($)",$B4*Dashboard!$B$4*IF(Dashboard!$B$5=Dashboard!$B$6,3,((1-Dashboard!$B$5+Dashboard!$B$6)^3-1)/(Dashboard!$B$6-Dashboard!$B$5)),IF(Dashboard!$B$14="LTV per Customer ($)",IF($B4&gt;0,Dashboard!$B$4*IF(Dashboard!$B$5=Dashboard!$B$6,3,((1-Dashboard!$B$5+Dashboard!$B$6)^3-1)/(Dashboard!$B$6-Dashboard!$B$5)),0),"")))))</f>
        <v>0.86489999999999989</v>
      </c>
      <c r="F4" s="36">
        <f>IF(Dashboard!$B$14="Retention %",(1-Dashboard!$B$5)^3,IF(Dashboard!$B$14="MRR ($)",$B4*Dashboard!$B$4*(1-Dashboard!$B$5+Dashboard!$B$6)^3,IF(Dashboard!$B$14="Churned Customers",$B4*(1-(1-Dashboard!$B$5)^3),IF(Dashboard!$B$14="Cumulative Revenue ($)",$B4*Dashboard!$B$4*IF(Dashboard!$B$5=Dashboard!$B$6,4,((1-Dashboard!$B$5+Dashboard!$B$6)^4-1)/(Dashboard!$B$6-Dashboard!$B$5)),IF(Dashboard!$B$14="LTV per Customer ($)",IF($B4&gt;0,Dashboard!$B$4*IF(Dashboard!$B$5=Dashboard!$B$6,4,((1-Dashboard!$B$5+Dashboard!$B$6)^4-1)/(Dashboard!$B$6-Dashboard!$B$5)),0),"")))))</f>
        <v>0.80435699999999988</v>
      </c>
      <c r="G4" s="36">
        <f>IF(Dashboard!$B$14="Retention %",(1-Dashboard!$B$5)^4,IF(Dashboard!$B$14="MRR ($)",$B4*Dashboard!$B$4*(1-Dashboard!$B$5+Dashboard!$B$6)^4,IF(Dashboard!$B$14="Churned Customers",$B4*(1-(1-Dashboard!$B$5)^4),IF(Dashboard!$B$14="Cumulative Revenue ($)",$B4*Dashboard!$B$4*IF(Dashboard!$B$5=Dashboard!$B$6,5,((1-Dashboard!$B$5+Dashboard!$B$6)^5-1)/(Dashboard!$B$6-Dashboard!$B$5)),IF(Dashboard!$B$14="LTV per Customer ($)",IF($B4&gt;0,Dashboard!$B$4*IF(Dashboard!$B$5=Dashboard!$B$6,5,((1-Dashboard!$B$5+Dashboard!$B$6)^5-1)/(Dashboard!$B$6-Dashboard!$B$5)),0),"")))))</f>
        <v>0.74805200999999977</v>
      </c>
      <c r="H4" s="36">
        <f>IF(Dashboard!$B$14="Retention %",(1-Dashboard!$B$5)^5,IF(Dashboard!$B$14="MRR ($)",$B4*Dashboard!$B$4*(1-Dashboard!$B$5+Dashboard!$B$6)^5,IF(Dashboard!$B$14="Churned Customers",$B4*(1-(1-Dashboard!$B$5)^5),IF(Dashboard!$B$14="Cumulative Revenue ($)",$B4*Dashboard!$B$4*IF(Dashboard!$B$5=Dashboard!$B$6,6,((1-Dashboard!$B$5+Dashboard!$B$6)^6-1)/(Dashboard!$B$6-Dashboard!$B$5)),IF(Dashboard!$B$14="LTV per Customer ($)",IF($B4&gt;0,Dashboard!$B$4*IF(Dashboard!$B$5=Dashboard!$B$6,6,((1-Dashboard!$B$5+Dashboard!$B$6)^6-1)/(Dashboard!$B$6-Dashboard!$B$5)),0),"")))))</f>
        <v>0.69568836929999978</v>
      </c>
      <c r="I4" s="36">
        <f>IF(Dashboard!$B$14="Retention %",(1-Dashboard!$B$5)^6,IF(Dashboard!$B$14="MRR ($)",$B4*Dashboard!$B$4*(1-Dashboard!$B$5+Dashboard!$B$6)^6,IF(Dashboard!$B$14="Churned Customers",$B4*(1-(1-Dashboard!$B$5)^6),IF(Dashboard!$B$14="Cumulative Revenue ($)",$B4*Dashboard!$B$4*IF(Dashboard!$B$5=Dashboard!$B$6,7,((1-Dashboard!$B$5+Dashboard!$B$6)^7-1)/(Dashboard!$B$6-Dashboard!$B$5)),IF(Dashboard!$B$14="LTV per Customer ($)",IF($B4&gt;0,Dashboard!$B$4*IF(Dashboard!$B$5=Dashboard!$B$6,7,((1-Dashboard!$B$5+Dashboard!$B$6)^7-1)/(Dashboard!$B$6-Dashboard!$B$5)),0),"")))))</f>
        <v>0.64699018344899972</v>
      </c>
      <c r="J4" s="36">
        <f>IF(Dashboard!$B$14="Retention %",(1-Dashboard!$B$5)^7,IF(Dashboard!$B$14="MRR ($)",$B4*Dashboard!$B$4*(1-Dashboard!$B$5+Dashboard!$B$6)^7,IF(Dashboard!$B$14="Churned Customers",$B4*(1-(1-Dashboard!$B$5)^7),IF(Dashboard!$B$14="Cumulative Revenue ($)",$B4*Dashboard!$B$4*IF(Dashboard!$B$5=Dashboard!$B$6,8,((1-Dashboard!$B$5+Dashboard!$B$6)^8-1)/(Dashboard!$B$6-Dashboard!$B$5)),IF(Dashboard!$B$14="LTV per Customer ($)",IF($B4&gt;0,Dashboard!$B$4*IF(Dashboard!$B$5=Dashboard!$B$6,8,((1-Dashboard!$B$5+Dashboard!$B$6)^8-1)/(Dashboard!$B$6-Dashboard!$B$5)),0),"")))))</f>
        <v>0.60170087060756972</v>
      </c>
      <c r="K4" s="36">
        <f>IF(Dashboard!$B$14="Retention %",(1-Dashboard!$B$5)^8,IF(Dashboard!$B$14="MRR ($)",$B4*Dashboard!$B$4*(1-Dashboard!$B$5+Dashboard!$B$6)^8,IF(Dashboard!$B$14="Churned Customers",$B4*(1-(1-Dashboard!$B$5)^8),IF(Dashboard!$B$14="Cumulative Revenue ($)",$B4*Dashboard!$B$4*IF(Dashboard!$B$5=Dashboard!$B$6,9,((1-Dashboard!$B$5+Dashboard!$B$6)^9-1)/(Dashboard!$B$6-Dashboard!$B$5)),IF(Dashboard!$B$14="LTV per Customer ($)",IF($B4&gt;0,Dashboard!$B$4*IF(Dashboard!$B$5=Dashboard!$B$6,9,((1-Dashboard!$B$5+Dashboard!$B$6)^9-1)/(Dashboard!$B$6-Dashboard!$B$5)),0),"")))))</f>
        <v>0.55958180966503979</v>
      </c>
      <c r="L4" s="36">
        <f>IF(Dashboard!$B$14="Retention %",(1-Dashboard!$B$5)^9,IF(Dashboard!$B$14="MRR ($)",$B4*Dashboard!$B$4*(1-Dashboard!$B$5+Dashboard!$B$6)^9,IF(Dashboard!$B$14="Churned Customers",$B4*(1-(1-Dashboard!$B$5)^9),IF(Dashboard!$B$14="Cumulative Revenue ($)",$B4*Dashboard!$B$4*IF(Dashboard!$B$5=Dashboard!$B$6,10,((1-Dashboard!$B$5+Dashboard!$B$6)^10-1)/(Dashboard!$B$6-Dashboard!$B$5)),IF(Dashboard!$B$14="LTV per Customer ($)",IF($B4&gt;0,Dashboard!$B$4*IF(Dashboard!$B$5=Dashboard!$B$6,10,((1-Dashboard!$B$5+Dashboard!$B$6)^10-1)/(Dashboard!$B$6-Dashboard!$B$5)),0),"")))))</f>
        <v>0.52041108298848693</v>
      </c>
      <c r="M4" s="16">
        <f>IF(Dashboard!$B$14="Retention %",(1-Dashboard!$B$5)^10,IF(Dashboard!$B$14="MRR ($)",$B4*Dashboard!$B$4*(1-Dashboard!$B$5+Dashboard!$B$6)^10,IF(Dashboard!$B$14="Churned Customers",$B4*(1-(1-Dashboard!$B$5)^10),IF(Dashboard!$B$14="Cumulative Revenue ($)",$B4*Dashboard!$B$4*IF(Dashboard!$B$5=Dashboard!$B$6,11,((1-Dashboard!$B$5+Dashboard!$B$6)^11-1)/(Dashboard!$B$6-Dashboard!$B$5)),IF(Dashboard!$B$14="LTV per Customer ($)",IF($B4&gt;0,Dashboard!$B$4*IF(Dashboard!$B$5=Dashboard!$B$6,11,((1-Dashboard!$B$5+Dashboard!$B$6)^11-1)/(Dashboard!$B$6-Dashboard!$B$5)),0),"")))))</f>
        <v>0.48398230717929286</v>
      </c>
      <c r="N4" s="16">
        <f>IF(Dashboard!$B$14="Retention %",(1-Dashboard!$B$5)^11,IF(Dashboard!$B$14="MRR ($)",$B4*Dashboard!$B$4*(1-Dashboard!$B$5+Dashboard!$B$6)^11,IF(Dashboard!$B$14="Churned Customers",$B4*(1-(1-Dashboard!$B$5)^11),IF(Dashboard!$B$14="Cumulative Revenue ($)",$B4*Dashboard!$B$4*IF(Dashboard!$B$5=Dashboard!$B$6,12,((1-Dashboard!$B$5+Dashboard!$B$6)^12-1)/(Dashboard!$B$6-Dashboard!$B$5)),IF(Dashboard!$B$14="LTV per Customer ($)",IF($B4&gt;0,Dashboard!$B$4*IF(Dashboard!$B$5=Dashboard!$B$6,12,((1-Dashboard!$B$5+Dashboard!$B$6)^12-1)/(Dashboard!$B$6-Dashboard!$B$5)),0),"")))))</f>
        <v>0.45010354567674232</v>
      </c>
      <c r="O4" s="16">
        <f>IF(Dashboard!$B$14="Retention %",(1-Dashboard!$B$5)^12,IF(Dashboard!$B$14="MRR ($)",$B4*Dashboard!$B$4*(1-Dashboard!$B$5+Dashboard!$B$6)^12,IF(Dashboard!$B$14="Churned Customers",$B4*(1-(1-Dashboard!$B$5)^12),IF(Dashboard!$B$14="Cumulative Revenue ($)",$B4*Dashboard!$B$4*IF(Dashboard!$B$5=Dashboard!$B$6,13,((1-Dashboard!$B$5+Dashboard!$B$6)^13-1)/(Dashboard!$B$6-Dashboard!$B$5)),IF(Dashboard!$B$14="LTV per Customer ($)",IF($B4&gt;0,Dashboard!$B$4*IF(Dashboard!$B$5=Dashboard!$B$6,13,((1-Dashboard!$B$5+Dashboard!$B$6)^13-1)/(Dashboard!$B$6-Dashboard!$B$5)),0),"")))))</f>
        <v>0.41859629747937033</v>
      </c>
      <c r="P4" s="16">
        <f>IF(Dashboard!$B$14="Retention %",(1-Dashboard!$B$5)^13,IF(Dashboard!$B$14="MRR ($)",$B4*Dashboard!$B$4*(1-Dashboard!$B$5+Dashboard!$B$6)^13,IF(Dashboard!$B$14="Churned Customers",$B4*(1-(1-Dashboard!$B$5)^13),IF(Dashboard!$B$14="Cumulative Revenue ($)",$B4*Dashboard!$B$4*IF(Dashboard!$B$5=Dashboard!$B$6,14,((1-Dashboard!$B$5+Dashboard!$B$6)^14-1)/(Dashboard!$B$6-Dashboard!$B$5)),IF(Dashboard!$B$14="LTV per Customer ($)",IF($B4&gt;0,Dashboard!$B$4*IF(Dashboard!$B$5=Dashboard!$B$6,14,((1-Dashboard!$B$5+Dashboard!$B$6)^14-1)/(Dashboard!$B$6-Dashboard!$B$5)),0),"")))))</f>
        <v>0.38929455665581436</v>
      </c>
      <c r="Q4" s="16">
        <f>IF(Dashboard!$B$14="Retention %",(1-Dashboard!$B$5)^14,IF(Dashboard!$B$14="MRR ($)",$B4*Dashboard!$B$4*(1-Dashboard!$B$5+Dashboard!$B$6)^14,IF(Dashboard!$B$14="Churned Customers",$B4*(1-(1-Dashboard!$B$5)^14),IF(Dashboard!$B$14="Cumulative Revenue ($)",$B4*Dashboard!$B$4*IF(Dashboard!$B$5=Dashboard!$B$6,15,((1-Dashboard!$B$5+Dashboard!$B$6)^15-1)/(Dashboard!$B$6-Dashboard!$B$5)),IF(Dashboard!$B$14="LTV per Customer ($)",IF($B4&gt;0,Dashboard!$B$4*IF(Dashboard!$B$5=Dashboard!$B$6,15,((1-Dashboard!$B$5+Dashboard!$B$6)^15-1)/(Dashboard!$B$6-Dashboard!$B$5)),0),"")))))</f>
        <v>0.36204393768990734</v>
      </c>
      <c r="R4" s="16">
        <f>IF(Dashboard!$B$14="Retention %",(1-Dashboard!$B$5)^15,IF(Dashboard!$B$14="MRR ($)",$B4*Dashboard!$B$4*(1-Dashboard!$B$5+Dashboard!$B$6)^15,IF(Dashboard!$B$14="Churned Customers",$B4*(1-(1-Dashboard!$B$5)^15),IF(Dashboard!$B$14="Cumulative Revenue ($)",$B4*Dashboard!$B$4*IF(Dashboard!$B$5=Dashboard!$B$6,16,((1-Dashboard!$B$5+Dashboard!$B$6)^16-1)/(Dashboard!$B$6-Dashboard!$B$5)),IF(Dashboard!$B$14="LTV per Customer ($)",IF($B4&gt;0,Dashboard!$B$4*IF(Dashboard!$B$5=Dashboard!$B$6,16,((1-Dashboard!$B$5+Dashboard!$B$6)^16-1)/(Dashboard!$B$6-Dashboard!$B$5)),0),"")))))</f>
        <v>0.33670086205161381</v>
      </c>
      <c r="S4" s="16">
        <f>IF(Dashboard!$B$14="Retention %",(1-Dashboard!$B$5)^16,IF(Dashboard!$B$14="MRR ($)",$B4*Dashboard!$B$4*(1-Dashboard!$B$5+Dashboard!$B$6)^16,IF(Dashboard!$B$14="Churned Customers",$B4*(1-(1-Dashboard!$B$5)^16),IF(Dashboard!$B$14="Cumulative Revenue ($)",$B4*Dashboard!$B$4*IF(Dashboard!$B$5=Dashboard!$B$6,17,((1-Dashboard!$B$5+Dashboard!$B$6)^17-1)/(Dashboard!$B$6-Dashboard!$B$5)),IF(Dashboard!$B$14="LTV per Customer ($)",IF($B4&gt;0,Dashboard!$B$4*IF(Dashboard!$B$5=Dashboard!$B$6,17,((1-Dashboard!$B$5+Dashboard!$B$6)^17-1)/(Dashboard!$B$6-Dashboard!$B$5)),0),"")))))</f>
        <v>0.31313180170800081</v>
      </c>
      <c r="T4" s="16">
        <f>IF(Dashboard!$B$14="Retention %",(1-Dashboard!$B$5)^17,IF(Dashboard!$B$14="MRR ($)",$B4*Dashboard!$B$4*(1-Dashboard!$B$5+Dashboard!$B$6)^17,IF(Dashboard!$B$14="Churned Customers",$B4*(1-(1-Dashboard!$B$5)^17),IF(Dashboard!$B$14="Cumulative Revenue ($)",$B4*Dashboard!$B$4*IF(Dashboard!$B$5=Dashboard!$B$6,18,((1-Dashboard!$B$5+Dashboard!$B$6)^18-1)/(Dashboard!$B$6-Dashboard!$B$5)),IF(Dashboard!$B$14="LTV per Customer ($)",IF($B4&gt;0,Dashboard!$B$4*IF(Dashboard!$B$5=Dashboard!$B$6,18,((1-Dashboard!$B$5+Dashboard!$B$6)^18-1)/(Dashboard!$B$6-Dashboard!$B$5)),0),"")))))</f>
        <v>0.29121257558844071</v>
      </c>
      <c r="U4" s="16">
        <f>IF(Dashboard!$B$14="Retention %",(1-Dashboard!$B$5)^18,IF(Dashboard!$B$14="MRR ($)",$B4*Dashboard!$B$4*(1-Dashboard!$B$5+Dashboard!$B$6)^18,IF(Dashboard!$B$14="Churned Customers",$B4*(1-(1-Dashboard!$B$5)^18),IF(Dashboard!$B$14="Cumulative Revenue ($)",$B4*Dashboard!$B$4*IF(Dashboard!$B$5=Dashboard!$B$6,19,((1-Dashboard!$B$5+Dashboard!$B$6)^19-1)/(Dashboard!$B$6-Dashboard!$B$5)),IF(Dashboard!$B$14="LTV per Customer ($)",IF($B4&gt;0,Dashboard!$B$4*IF(Dashboard!$B$5=Dashboard!$B$6,19,((1-Dashboard!$B$5+Dashboard!$B$6)^19-1)/(Dashboard!$B$6-Dashboard!$B$5)),0),"")))))</f>
        <v>0.27082769529724987</v>
      </c>
      <c r="V4" s="16">
        <f>IF(Dashboard!$B$14="Retention %",(1-Dashboard!$B$5)^19,IF(Dashboard!$B$14="MRR ($)",$B4*Dashboard!$B$4*(1-Dashboard!$B$5+Dashboard!$B$6)^19,IF(Dashboard!$B$14="Churned Customers",$B4*(1-(1-Dashboard!$B$5)^19),IF(Dashboard!$B$14="Cumulative Revenue ($)",$B4*Dashboard!$B$4*IF(Dashboard!$B$5=Dashboard!$B$6,20,((1-Dashboard!$B$5+Dashboard!$B$6)^20-1)/(Dashboard!$B$6-Dashboard!$B$5)),IF(Dashboard!$B$14="LTV per Customer ($)",IF($B4&gt;0,Dashboard!$B$4*IF(Dashboard!$B$5=Dashboard!$B$6,20,((1-Dashboard!$B$5+Dashboard!$B$6)^20-1)/(Dashboard!$B$6-Dashboard!$B$5)),0),"")))))</f>
        <v>0.2518697566264424</v>
      </c>
      <c r="W4" s="16">
        <f>IF(Dashboard!$B$14="Retention %",(1-Dashboard!$B$5)^20,IF(Dashboard!$B$14="MRR ($)",$B4*Dashboard!$B$4*(1-Dashboard!$B$5+Dashboard!$B$6)^20,IF(Dashboard!$B$14="Churned Customers",$B4*(1-(1-Dashboard!$B$5)^20),IF(Dashboard!$B$14="Cumulative Revenue ($)",$B4*Dashboard!$B$4*IF(Dashboard!$B$5=Dashboard!$B$6,21,((1-Dashboard!$B$5+Dashboard!$B$6)^21-1)/(Dashboard!$B$6-Dashboard!$B$5)),IF(Dashboard!$B$14="LTV per Customer ($)",IF($B4&gt;0,Dashboard!$B$4*IF(Dashboard!$B$5=Dashboard!$B$6,21,((1-Dashboard!$B$5+Dashboard!$B$6)^21-1)/(Dashboard!$B$6-Dashboard!$B$5)),0),"")))))</f>
        <v>0.23423887366259136</v>
      </c>
      <c r="X4" s="16">
        <f>IF(Dashboard!$B$14="Retention %",(1-Dashboard!$B$5)^21,IF(Dashboard!$B$14="MRR ($)",$B4*Dashboard!$B$4*(1-Dashboard!$B$5+Dashboard!$B$6)^21,IF(Dashboard!$B$14="Churned Customers",$B4*(1-(1-Dashboard!$B$5)^21),IF(Dashboard!$B$14="Cumulative Revenue ($)",$B4*Dashboard!$B$4*IF(Dashboard!$B$5=Dashboard!$B$6,22,((1-Dashboard!$B$5+Dashboard!$B$6)^22-1)/(Dashboard!$B$6-Dashboard!$B$5)),IF(Dashboard!$B$14="LTV per Customer ($)",IF($B4&gt;0,Dashboard!$B$4*IF(Dashboard!$B$5=Dashboard!$B$6,22,((1-Dashboard!$B$5+Dashboard!$B$6)^22-1)/(Dashboard!$B$6-Dashboard!$B$5)),0),"")))))</f>
        <v>0.21784215250620997</v>
      </c>
      <c r="Y4" s="16">
        <f>IF(Dashboard!$B$14="Retention %",(1-Dashboard!$B$5)^22,IF(Dashboard!$B$14="MRR ($)",$B4*Dashboard!$B$4*(1-Dashboard!$B$5+Dashboard!$B$6)^22,IF(Dashboard!$B$14="Churned Customers",$B4*(1-(1-Dashboard!$B$5)^22),IF(Dashboard!$B$14="Cumulative Revenue ($)",$B4*Dashboard!$B$4*IF(Dashboard!$B$5=Dashboard!$B$6,23,((1-Dashboard!$B$5+Dashboard!$B$6)^23-1)/(Dashboard!$B$6-Dashboard!$B$5)),IF(Dashboard!$B$14="LTV per Customer ($)",IF($B4&gt;0,Dashboard!$B$4*IF(Dashboard!$B$5=Dashboard!$B$6,23,((1-Dashboard!$B$5+Dashboard!$B$6)^23-1)/(Dashboard!$B$6-Dashboard!$B$5)),0),"")))))</f>
        <v>0.20259320183077525</v>
      </c>
      <c r="Z4" s="16">
        <f>IF(Dashboard!$B$14="Retention %",(1-Dashboard!$B$5)^23,IF(Dashboard!$B$14="MRR ($)",$B4*Dashboard!$B$4*(1-Dashboard!$B$5+Dashboard!$B$6)^23,IF(Dashboard!$B$14="Churned Customers",$B4*(1-(1-Dashboard!$B$5)^23),IF(Dashboard!$B$14="Cumulative Revenue ($)",$B4*Dashboard!$B$4*IF(Dashboard!$B$5=Dashboard!$B$6,24,((1-Dashboard!$B$5+Dashboard!$B$6)^24-1)/(Dashboard!$B$6-Dashboard!$B$5)),IF(Dashboard!$B$14="LTV per Customer ($)",IF($B4&gt;0,Dashboard!$B$4*IF(Dashboard!$B$5=Dashboard!$B$6,24,((1-Dashboard!$B$5+Dashboard!$B$6)^24-1)/(Dashboard!$B$6-Dashboard!$B$5)),0),"")))))</f>
        <v>0.18841167770262096</v>
      </c>
      <c r="AA4" s="16">
        <f>IF(Dashboard!$B$14="Retention %",(1-Dashboard!$B$5)^24,IF(Dashboard!$B$14="MRR ($)",$B4*Dashboard!$B$4*(1-Dashboard!$B$5+Dashboard!$B$6)^24,IF(Dashboard!$B$14="Churned Customers",$B4*(1-(1-Dashboard!$B$5)^24),IF(Dashboard!$B$14="Cumulative Revenue ($)",$B4*Dashboard!$B$4*IF(Dashboard!$B$5=Dashboard!$B$6,25,((1-Dashboard!$B$5+Dashboard!$B$6)^25-1)/(Dashboard!$B$6-Dashboard!$B$5)),IF(Dashboard!$B$14="LTV per Customer ($)",IF($B4&gt;0,Dashboard!$B$4*IF(Dashboard!$B$5=Dashboard!$B$6,25,((1-Dashboard!$B$5+Dashboard!$B$6)^25-1)/(Dashboard!$B$6-Dashboard!$B$5)),0),"")))))</f>
        <v>0.1752228602634375</v>
      </c>
      <c r="AB4" s="16">
        <f>IF(Dashboard!$B$14="Retention %",(1-Dashboard!$B$5)^25,IF(Dashboard!$B$14="MRR ($)",$B4*Dashboard!$B$4*(1-Dashboard!$B$5+Dashboard!$B$6)^25,IF(Dashboard!$B$14="Churned Customers",$B4*(1-(1-Dashboard!$B$5)^25),IF(Dashboard!$B$14="Cumulative Revenue ($)",$B4*Dashboard!$B$4*IF(Dashboard!$B$5=Dashboard!$B$6,26,((1-Dashboard!$B$5+Dashboard!$B$6)^26-1)/(Dashboard!$B$6-Dashboard!$B$5)),IF(Dashboard!$B$14="LTV per Customer ($)",IF($B4&gt;0,Dashboard!$B$4*IF(Dashboard!$B$5=Dashboard!$B$6,26,((1-Dashboard!$B$5+Dashboard!$B$6)^26-1)/(Dashboard!$B$6-Dashboard!$B$5)),0),"")))))</f>
        <v>0.16295726004499683</v>
      </c>
      <c r="AC4" s="16">
        <f>IF(Dashboard!$B$14="Retention %",(1-Dashboard!$B$5)^26,IF(Dashboard!$B$14="MRR ($)",$B4*Dashboard!$B$4*(1-Dashboard!$B$5+Dashboard!$B$6)^26,IF(Dashboard!$B$14="Churned Customers",$B4*(1-(1-Dashboard!$B$5)^26),IF(Dashboard!$B$14="Cumulative Revenue ($)",$B4*Dashboard!$B$4*IF(Dashboard!$B$5=Dashboard!$B$6,27,((1-Dashboard!$B$5+Dashboard!$B$6)^27-1)/(Dashboard!$B$6-Dashboard!$B$5)),IF(Dashboard!$B$14="LTV per Customer ($)",IF($B4&gt;0,Dashboard!$B$4*IF(Dashboard!$B$5=Dashboard!$B$6,27,((1-Dashboard!$B$5+Dashboard!$B$6)^27-1)/(Dashboard!$B$6-Dashboard!$B$5)),0),"")))))</f>
        <v>0.15155025184184706</v>
      </c>
      <c r="AD4" s="16">
        <f>IF(Dashboard!$B$14="Retention %",(1-Dashboard!$B$5)^27,IF(Dashboard!$B$14="MRR ($)",$B4*Dashboard!$B$4*(1-Dashboard!$B$5+Dashboard!$B$6)^27,IF(Dashboard!$B$14="Churned Customers",$B4*(1-(1-Dashboard!$B$5)^27),IF(Dashboard!$B$14="Cumulative Revenue ($)",$B4*Dashboard!$B$4*IF(Dashboard!$B$5=Dashboard!$B$6,28,((1-Dashboard!$B$5+Dashboard!$B$6)^28-1)/(Dashboard!$B$6-Dashboard!$B$5)),IF(Dashboard!$B$14="LTV per Customer ($)",IF($B4&gt;0,Dashboard!$B$4*IF(Dashboard!$B$5=Dashboard!$B$6,28,((1-Dashboard!$B$5+Dashboard!$B$6)^28-1)/(Dashboard!$B$6-Dashboard!$B$5)),0),"")))))</f>
        <v>0.14094173421291775</v>
      </c>
      <c r="AE4" s="16">
        <f>IF(Dashboard!$B$14="Retention %",(1-Dashboard!$B$5)^28,IF(Dashboard!$B$14="MRR ($)",$B4*Dashboard!$B$4*(1-Dashboard!$B$5+Dashboard!$B$6)^28,IF(Dashboard!$B$14="Churned Customers",$B4*(1-(1-Dashboard!$B$5)^28),IF(Dashboard!$B$14="Cumulative Revenue ($)",$B4*Dashboard!$B$4*IF(Dashboard!$B$5=Dashboard!$B$6,29,((1-Dashboard!$B$5+Dashboard!$B$6)^29-1)/(Dashboard!$B$6-Dashboard!$B$5)),IF(Dashboard!$B$14="LTV per Customer ($)",IF($B4&gt;0,Dashboard!$B$4*IF(Dashboard!$B$5=Dashboard!$B$6,29,((1-Dashboard!$B$5+Dashboard!$B$6)^29-1)/(Dashboard!$B$6-Dashboard!$B$5)),0),"")))))</f>
        <v>0.1310758128180135</v>
      </c>
      <c r="AF4" s="16">
        <f>IF(Dashboard!$B$14="Retention %",(1-Dashboard!$B$5)^29,IF(Dashboard!$B$14="MRR ($)",$B4*Dashboard!$B$4*(1-Dashboard!$B$5+Dashboard!$B$6)^29,IF(Dashboard!$B$14="Churned Customers",$B4*(1-(1-Dashboard!$B$5)^29),IF(Dashboard!$B$14="Cumulative Revenue ($)",$B4*Dashboard!$B$4*IF(Dashboard!$B$5=Dashboard!$B$6,30,((1-Dashboard!$B$5+Dashboard!$B$6)^30-1)/(Dashboard!$B$6-Dashboard!$B$5)),IF(Dashboard!$B$14="LTV per Customer ($)",IF($B4&gt;0,Dashboard!$B$4*IF(Dashboard!$B$5=Dashboard!$B$6,30,((1-Dashboard!$B$5+Dashboard!$B$6)^30-1)/(Dashboard!$B$6-Dashboard!$B$5)),0),"")))))</f>
        <v>0.12190050592075255</v>
      </c>
      <c r="AG4" s="16">
        <f>IF(Dashboard!$B$14="Retention %",(1-Dashboard!$B$5)^30,IF(Dashboard!$B$14="MRR ($)",$B4*Dashboard!$B$4*(1-Dashboard!$B$5+Dashboard!$B$6)^30,IF(Dashboard!$B$14="Churned Customers",$B4*(1-(1-Dashboard!$B$5)^30),IF(Dashboard!$B$14="Cumulative Revenue ($)",$B4*Dashboard!$B$4*IF(Dashboard!$B$5=Dashboard!$B$6,31,((1-Dashboard!$B$5+Dashboard!$B$6)^31-1)/(Dashboard!$B$6-Dashboard!$B$5)),IF(Dashboard!$B$14="LTV per Customer ($)",IF($B4&gt;0,Dashboard!$B$4*IF(Dashboard!$B$5=Dashboard!$B$6,31,((1-Dashboard!$B$5+Dashboard!$B$6)^31-1)/(Dashboard!$B$6-Dashboard!$B$5)),0),"")))))</f>
        <v>0.11336747050629986</v>
      </c>
      <c r="AH4" s="16">
        <f>IF(Dashboard!$B$14="Retention %",(1-Dashboard!$B$5)^31,IF(Dashboard!$B$14="MRR ($)",$B4*Dashboard!$B$4*(1-Dashboard!$B$5+Dashboard!$B$6)^31,IF(Dashboard!$B$14="Churned Customers",$B4*(1-(1-Dashboard!$B$5)^31),IF(Dashboard!$B$14="Cumulative Revenue ($)",$B4*Dashboard!$B$4*IF(Dashboard!$B$5=Dashboard!$B$6,32,((1-Dashboard!$B$5+Dashboard!$B$6)^32-1)/(Dashboard!$B$6-Dashboard!$B$5)),IF(Dashboard!$B$14="LTV per Customer ($)",IF($B4&gt;0,Dashboard!$B$4*IF(Dashboard!$B$5=Dashboard!$B$6,32,((1-Dashboard!$B$5+Dashboard!$B$6)^32-1)/(Dashboard!$B$6-Dashboard!$B$5)),0),"")))))</f>
        <v>0.10543174757085887</v>
      </c>
      <c r="AI4" s="16">
        <f>IF(Dashboard!$B$14="Retention %",(1-Dashboard!$B$5)^32,IF(Dashboard!$B$14="MRR ($)",$B4*Dashboard!$B$4*(1-Dashboard!$B$5+Dashboard!$B$6)^32,IF(Dashboard!$B$14="Churned Customers",$B4*(1-(1-Dashboard!$B$5)^32),IF(Dashboard!$B$14="Cumulative Revenue ($)",$B4*Dashboard!$B$4*IF(Dashboard!$B$5=Dashboard!$B$6,33,((1-Dashboard!$B$5+Dashboard!$B$6)^33-1)/(Dashboard!$B$6-Dashboard!$B$5)),IF(Dashboard!$B$14="LTV per Customer ($)",IF($B4&gt;0,Dashboard!$B$4*IF(Dashboard!$B$5=Dashboard!$B$6,33,((1-Dashboard!$B$5+Dashboard!$B$6)^33-1)/(Dashboard!$B$6-Dashboard!$B$5)),0),"")))))</f>
        <v>9.8051525240898746E-2</v>
      </c>
      <c r="AJ4" s="16">
        <f>IF(Dashboard!$B$14="Retention %",(1-Dashboard!$B$5)^33,IF(Dashboard!$B$14="MRR ($)",$B4*Dashboard!$B$4*(1-Dashboard!$B$5+Dashboard!$B$6)^33,IF(Dashboard!$B$14="Churned Customers",$B4*(1-(1-Dashboard!$B$5)^33),IF(Dashboard!$B$14="Cumulative Revenue ($)",$B4*Dashboard!$B$4*IF(Dashboard!$B$5=Dashboard!$B$6,34,((1-Dashboard!$B$5+Dashboard!$B$6)^34-1)/(Dashboard!$B$6-Dashboard!$B$5)),IF(Dashboard!$B$14="LTV per Customer ($)",IF($B4&gt;0,Dashboard!$B$4*IF(Dashboard!$B$5=Dashboard!$B$6,34,((1-Dashboard!$B$5+Dashboard!$B$6)^34-1)/(Dashboard!$B$6-Dashboard!$B$5)),0),"")))))</f>
        <v>9.1187918474035831E-2</v>
      </c>
      <c r="AK4" s="16">
        <f>IF(Dashboard!$B$14="Retention %",(1-Dashboard!$B$5)^34,IF(Dashboard!$B$14="MRR ($)",$B4*Dashboard!$B$4*(1-Dashboard!$B$5+Dashboard!$B$6)^34,IF(Dashboard!$B$14="Churned Customers",$B4*(1-(1-Dashboard!$B$5)^34),IF(Dashboard!$B$14="Cumulative Revenue ($)",$B4*Dashboard!$B$4*IF(Dashboard!$B$5=Dashboard!$B$6,35,((1-Dashboard!$B$5+Dashboard!$B$6)^35-1)/(Dashboard!$B$6-Dashboard!$B$5)),IF(Dashboard!$B$14="LTV per Customer ($)",IF($B4&gt;0,Dashboard!$B$4*IF(Dashboard!$B$5=Dashboard!$B$6,35,((1-Dashboard!$B$5+Dashboard!$B$6)^35-1)/(Dashboard!$B$6-Dashboard!$B$5)),0),"")))))</f>
        <v>8.4804764180853309E-2</v>
      </c>
      <c r="AL4" s="21"/>
    </row>
    <row r="5" spans="1:38" x14ac:dyDescent="0.35">
      <c r="A5" s="40" t="s">
        <v>87</v>
      </c>
      <c r="B5" s="44">
        <v>1</v>
      </c>
      <c r="C5" s="46">
        <f>IF(Dashboard!$B$14="Retention %",1,IF(Dashboard!$B$14="MRR ($)",$B5*Dashboard!$B$4,IF(Dashboard!$B$14="Churned Customers",0,IF(Dashboard!$B$14="Cumulative Revenue ($)",$B5*Dashboard!$B$4,IF(Dashboard!$B$14="LTV per Customer ($)",IF($B5&gt;0,Dashboard!$B$4,0),"")))))</f>
        <v>1</v>
      </c>
      <c r="D5" s="37">
        <f>IF(Dashboard!$B$14="Retention %",(1-Dashboard!$B$5)^1,IF(Dashboard!$B$14="MRR ($)",$B5*Dashboard!$B$4*(1-Dashboard!$B$5+Dashboard!$B$6)^1,IF(Dashboard!$B$14="Churned Customers",$B5*(1-(1-Dashboard!$B$5)^1),IF(Dashboard!$B$14="Cumulative Revenue ($)",$B5*Dashboard!$B$4*IF(Dashboard!$B$5=Dashboard!$B$6,2,((1-Dashboard!$B$5+Dashboard!$B$6)^2-1)/(Dashboard!$B$6-Dashboard!$B$5)),IF(Dashboard!$B$14="LTV per Customer ($)",IF($B5&gt;0,Dashboard!$B$4*IF(Dashboard!$B$5=Dashboard!$B$6,2,((1-Dashboard!$B$5+Dashboard!$B$6)^2-1)/(Dashboard!$B$6-Dashboard!$B$5)),0),"")))))</f>
        <v>0.92999999999999994</v>
      </c>
      <c r="E5" s="37">
        <f>IF(Dashboard!$B$14="Retention %",(1-Dashboard!$B$5)^2,IF(Dashboard!$B$14="MRR ($)",$B5*Dashboard!$B$4*(1-Dashboard!$B$5+Dashboard!$B$6)^2,IF(Dashboard!$B$14="Churned Customers",$B5*(1-(1-Dashboard!$B$5)^2),IF(Dashboard!$B$14="Cumulative Revenue ($)",$B5*Dashboard!$B$4*IF(Dashboard!$B$5=Dashboard!$B$6,3,((1-Dashboard!$B$5+Dashboard!$B$6)^3-1)/(Dashboard!$B$6-Dashboard!$B$5)),IF(Dashboard!$B$14="LTV per Customer ($)",IF($B5&gt;0,Dashboard!$B$4*IF(Dashboard!$B$5=Dashboard!$B$6,3,((1-Dashboard!$B$5+Dashboard!$B$6)^3-1)/(Dashboard!$B$6-Dashboard!$B$5)),0),"")))))</f>
        <v>0.86489999999999989</v>
      </c>
      <c r="F5" s="37">
        <f>IF(Dashboard!$B$14="Retention %",(1-Dashboard!$B$5)^3,IF(Dashboard!$B$14="MRR ($)",$B5*Dashboard!$B$4*(1-Dashboard!$B$5+Dashboard!$B$6)^3,IF(Dashboard!$B$14="Churned Customers",$B5*(1-(1-Dashboard!$B$5)^3),IF(Dashboard!$B$14="Cumulative Revenue ($)",$B5*Dashboard!$B$4*IF(Dashboard!$B$5=Dashboard!$B$6,4,((1-Dashboard!$B$5+Dashboard!$B$6)^4-1)/(Dashboard!$B$6-Dashboard!$B$5)),IF(Dashboard!$B$14="LTV per Customer ($)",IF($B5&gt;0,Dashboard!$B$4*IF(Dashboard!$B$5=Dashboard!$B$6,4,((1-Dashboard!$B$5+Dashboard!$B$6)^4-1)/(Dashboard!$B$6-Dashboard!$B$5)),0),"")))))</f>
        <v>0.80435699999999988</v>
      </c>
      <c r="G5" s="37">
        <f>IF(Dashboard!$B$14="Retention %",(1-Dashboard!$B$5)^4,IF(Dashboard!$B$14="MRR ($)",$B5*Dashboard!$B$4*(1-Dashboard!$B$5+Dashboard!$B$6)^4,IF(Dashboard!$B$14="Churned Customers",$B5*(1-(1-Dashboard!$B$5)^4),IF(Dashboard!$B$14="Cumulative Revenue ($)",$B5*Dashboard!$B$4*IF(Dashboard!$B$5=Dashboard!$B$6,5,((1-Dashboard!$B$5+Dashboard!$B$6)^5-1)/(Dashboard!$B$6-Dashboard!$B$5)),IF(Dashboard!$B$14="LTV per Customer ($)",IF($B5&gt;0,Dashboard!$B$4*IF(Dashboard!$B$5=Dashboard!$B$6,5,((1-Dashboard!$B$5+Dashboard!$B$6)^5-1)/(Dashboard!$B$6-Dashboard!$B$5)),0),"")))))</f>
        <v>0.74805200999999977</v>
      </c>
      <c r="H5" s="37">
        <f>IF(Dashboard!$B$14="Retention %",(1-Dashboard!$B$5)^5,IF(Dashboard!$B$14="MRR ($)",$B5*Dashboard!$B$4*(1-Dashboard!$B$5+Dashboard!$B$6)^5,IF(Dashboard!$B$14="Churned Customers",$B5*(1-(1-Dashboard!$B$5)^5),IF(Dashboard!$B$14="Cumulative Revenue ($)",$B5*Dashboard!$B$4*IF(Dashboard!$B$5=Dashboard!$B$6,6,((1-Dashboard!$B$5+Dashboard!$B$6)^6-1)/(Dashboard!$B$6-Dashboard!$B$5)),IF(Dashboard!$B$14="LTV per Customer ($)",IF($B5&gt;0,Dashboard!$B$4*IF(Dashboard!$B$5=Dashboard!$B$6,6,((1-Dashboard!$B$5+Dashboard!$B$6)^6-1)/(Dashboard!$B$6-Dashboard!$B$5)),0),"")))))</f>
        <v>0.69568836929999978</v>
      </c>
      <c r="I5" s="37">
        <f>IF(Dashboard!$B$14="Retention %",(1-Dashboard!$B$5)^6,IF(Dashboard!$B$14="MRR ($)",$B5*Dashboard!$B$4*(1-Dashboard!$B$5+Dashboard!$B$6)^6,IF(Dashboard!$B$14="Churned Customers",$B5*(1-(1-Dashboard!$B$5)^6),IF(Dashboard!$B$14="Cumulative Revenue ($)",$B5*Dashboard!$B$4*IF(Dashboard!$B$5=Dashboard!$B$6,7,((1-Dashboard!$B$5+Dashboard!$B$6)^7-1)/(Dashboard!$B$6-Dashboard!$B$5)),IF(Dashboard!$B$14="LTV per Customer ($)",IF($B5&gt;0,Dashboard!$B$4*IF(Dashboard!$B$5=Dashboard!$B$6,7,((1-Dashboard!$B$5+Dashboard!$B$6)^7-1)/(Dashboard!$B$6-Dashboard!$B$5)),0),"")))))</f>
        <v>0.64699018344899972</v>
      </c>
      <c r="J5" s="37">
        <f>IF(Dashboard!$B$14="Retention %",(1-Dashboard!$B$5)^7,IF(Dashboard!$B$14="MRR ($)",$B5*Dashboard!$B$4*(1-Dashboard!$B$5+Dashboard!$B$6)^7,IF(Dashboard!$B$14="Churned Customers",$B5*(1-(1-Dashboard!$B$5)^7),IF(Dashboard!$B$14="Cumulative Revenue ($)",$B5*Dashboard!$B$4*IF(Dashboard!$B$5=Dashboard!$B$6,8,((1-Dashboard!$B$5+Dashboard!$B$6)^8-1)/(Dashboard!$B$6-Dashboard!$B$5)),IF(Dashboard!$B$14="LTV per Customer ($)",IF($B5&gt;0,Dashboard!$B$4*IF(Dashboard!$B$5=Dashboard!$B$6,8,((1-Dashboard!$B$5+Dashboard!$B$6)^8-1)/(Dashboard!$B$6-Dashboard!$B$5)),0),"")))))</f>
        <v>0.60170087060756972</v>
      </c>
      <c r="K5" s="37">
        <f>IF(Dashboard!$B$14="Retention %",(1-Dashboard!$B$5)^8,IF(Dashboard!$B$14="MRR ($)",$B5*Dashboard!$B$4*(1-Dashboard!$B$5+Dashboard!$B$6)^8,IF(Dashboard!$B$14="Churned Customers",$B5*(1-(1-Dashboard!$B$5)^8),IF(Dashboard!$B$14="Cumulative Revenue ($)",$B5*Dashboard!$B$4*IF(Dashboard!$B$5=Dashboard!$B$6,9,((1-Dashboard!$B$5+Dashboard!$B$6)^9-1)/(Dashboard!$B$6-Dashboard!$B$5)),IF(Dashboard!$B$14="LTV per Customer ($)",IF($B5&gt;0,Dashboard!$B$4*IF(Dashboard!$B$5=Dashboard!$B$6,9,((1-Dashboard!$B$5+Dashboard!$B$6)^9-1)/(Dashboard!$B$6-Dashboard!$B$5)),0),"")))))</f>
        <v>0.55958180966503979</v>
      </c>
      <c r="L5" s="37">
        <f>IF(Dashboard!$B$14="Retention %",(1-Dashboard!$B$5)^9,IF(Dashboard!$B$14="MRR ($)",$B5*Dashboard!$B$4*(1-Dashboard!$B$5+Dashboard!$B$6)^9,IF(Dashboard!$B$14="Churned Customers",$B5*(1-(1-Dashboard!$B$5)^9),IF(Dashboard!$B$14="Cumulative Revenue ($)",$B5*Dashboard!$B$4*IF(Dashboard!$B$5=Dashboard!$B$6,10,((1-Dashboard!$B$5+Dashboard!$B$6)^10-1)/(Dashboard!$B$6-Dashboard!$B$5)),IF(Dashboard!$B$14="LTV per Customer ($)",IF($B5&gt;0,Dashboard!$B$4*IF(Dashboard!$B$5=Dashboard!$B$6,10,((1-Dashboard!$B$5+Dashboard!$B$6)^10-1)/(Dashboard!$B$6-Dashboard!$B$5)),0),"")))))</f>
        <v>0.52041108298848693</v>
      </c>
      <c r="M5" s="17">
        <f>IF(Dashboard!$B$14="Retention %",(1-Dashboard!$B$5)^10,IF(Dashboard!$B$14="MRR ($)",$B5*Dashboard!$B$4*(1-Dashboard!$B$5+Dashboard!$B$6)^10,IF(Dashboard!$B$14="Churned Customers",$B5*(1-(1-Dashboard!$B$5)^10),IF(Dashboard!$B$14="Cumulative Revenue ($)",$B5*Dashboard!$B$4*IF(Dashboard!$B$5=Dashboard!$B$6,11,((1-Dashboard!$B$5+Dashboard!$B$6)^11-1)/(Dashboard!$B$6-Dashboard!$B$5)),IF(Dashboard!$B$14="LTV per Customer ($)",IF($B5&gt;0,Dashboard!$B$4*IF(Dashboard!$B$5=Dashboard!$B$6,11,((1-Dashboard!$B$5+Dashboard!$B$6)^11-1)/(Dashboard!$B$6-Dashboard!$B$5)),0),"")))))</f>
        <v>0.48398230717929286</v>
      </c>
      <c r="N5" s="17">
        <f>IF(Dashboard!$B$14="Retention %",(1-Dashboard!$B$5)^11,IF(Dashboard!$B$14="MRR ($)",$B5*Dashboard!$B$4*(1-Dashboard!$B$5+Dashboard!$B$6)^11,IF(Dashboard!$B$14="Churned Customers",$B5*(1-(1-Dashboard!$B$5)^11),IF(Dashboard!$B$14="Cumulative Revenue ($)",$B5*Dashboard!$B$4*IF(Dashboard!$B$5=Dashboard!$B$6,12,((1-Dashboard!$B$5+Dashboard!$B$6)^12-1)/(Dashboard!$B$6-Dashboard!$B$5)),IF(Dashboard!$B$14="LTV per Customer ($)",IF($B5&gt;0,Dashboard!$B$4*IF(Dashboard!$B$5=Dashboard!$B$6,12,((1-Dashboard!$B$5+Dashboard!$B$6)^12-1)/(Dashboard!$B$6-Dashboard!$B$5)),0),"")))))</f>
        <v>0.45010354567674232</v>
      </c>
      <c r="O5" s="17">
        <f>IF(Dashboard!$B$14="Retention %",(1-Dashboard!$B$5)^12,IF(Dashboard!$B$14="MRR ($)",$B5*Dashboard!$B$4*(1-Dashboard!$B$5+Dashboard!$B$6)^12,IF(Dashboard!$B$14="Churned Customers",$B5*(1-(1-Dashboard!$B$5)^12),IF(Dashboard!$B$14="Cumulative Revenue ($)",$B5*Dashboard!$B$4*IF(Dashboard!$B$5=Dashboard!$B$6,13,((1-Dashboard!$B$5+Dashboard!$B$6)^13-1)/(Dashboard!$B$6-Dashboard!$B$5)),IF(Dashboard!$B$14="LTV per Customer ($)",IF($B5&gt;0,Dashboard!$B$4*IF(Dashboard!$B$5=Dashboard!$B$6,13,((1-Dashboard!$B$5+Dashboard!$B$6)^13-1)/(Dashboard!$B$6-Dashboard!$B$5)),0),"")))))</f>
        <v>0.41859629747937033</v>
      </c>
      <c r="P5" s="17">
        <f>IF(Dashboard!$B$14="Retention %",(1-Dashboard!$B$5)^13,IF(Dashboard!$B$14="MRR ($)",$B5*Dashboard!$B$4*(1-Dashboard!$B$5+Dashboard!$B$6)^13,IF(Dashboard!$B$14="Churned Customers",$B5*(1-(1-Dashboard!$B$5)^13),IF(Dashboard!$B$14="Cumulative Revenue ($)",$B5*Dashboard!$B$4*IF(Dashboard!$B$5=Dashboard!$B$6,14,((1-Dashboard!$B$5+Dashboard!$B$6)^14-1)/(Dashboard!$B$6-Dashboard!$B$5)),IF(Dashboard!$B$14="LTV per Customer ($)",IF($B5&gt;0,Dashboard!$B$4*IF(Dashboard!$B$5=Dashboard!$B$6,14,((1-Dashboard!$B$5+Dashboard!$B$6)^14-1)/(Dashboard!$B$6-Dashboard!$B$5)),0),"")))))</f>
        <v>0.38929455665581436</v>
      </c>
      <c r="Q5" s="17">
        <f>IF(Dashboard!$B$14="Retention %",(1-Dashboard!$B$5)^14,IF(Dashboard!$B$14="MRR ($)",$B5*Dashboard!$B$4*(1-Dashboard!$B$5+Dashboard!$B$6)^14,IF(Dashboard!$B$14="Churned Customers",$B5*(1-(1-Dashboard!$B$5)^14),IF(Dashboard!$B$14="Cumulative Revenue ($)",$B5*Dashboard!$B$4*IF(Dashboard!$B$5=Dashboard!$B$6,15,((1-Dashboard!$B$5+Dashboard!$B$6)^15-1)/(Dashboard!$B$6-Dashboard!$B$5)),IF(Dashboard!$B$14="LTV per Customer ($)",IF($B5&gt;0,Dashboard!$B$4*IF(Dashboard!$B$5=Dashboard!$B$6,15,((1-Dashboard!$B$5+Dashboard!$B$6)^15-1)/(Dashboard!$B$6-Dashboard!$B$5)),0),"")))))</f>
        <v>0.36204393768990734</v>
      </c>
      <c r="R5" s="17">
        <f>IF(Dashboard!$B$14="Retention %",(1-Dashboard!$B$5)^15,IF(Dashboard!$B$14="MRR ($)",$B5*Dashboard!$B$4*(1-Dashboard!$B$5+Dashboard!$B$6)^15,IF(Dashboard!$B$14="Churned Customers",$B5*(1-(1-Dashboard!$B$5)^15),IF(Dashboard!$B$14="Cumulative Revenue ($)",$B5*Dashboard!$B$4*IF(Dashboard!$B$5=Dashboard!$B$6,16,((1-Dashboard!$B$5+Dashboard!$B$6)^16-1)/(Dashboard!$B$6-Dashboard!$B$5)),IF(Dashboard!$B$14="LTV per Customer ($)",IF($B5&gt;0,Dashboard!$B$4*IF(Dashboard!$B$5=Dashboard!$B$6,16,((1-Dashboard!$B$5+Dashboard!$B$6)^16-1)/(Dashboard!$B$6-Dashboard!$B$5)),0),"")))))</f>
        <v>0.33670086205161381</v>
      </c>
      <c r="S5" s="17">
        <f>IF(Dashboard!$B$14="Retention %",(1-Dashboard!$B$5)^16,IF(Dashboard!$B$14="MRR ($)",$B5*Dashboard!$B$4*(1-Dashboard!$B$5+Dashboard!$B$6)^16,IF(Dashboard!$B$14="Churned Customers",$B5*(1-(1-Dashboard!$B$5)^16),IF(Dashboard!$B$14="Cumulative Revenue ($)",$B5*Dashboard!$B$4*IF(Dashboard!$B$5=Dashboard!$B$6,17,((1-Dashboard!$B$5+Dashboard!$B$6)^17-1)/(Dashboard!$B$6-Dashboard!$B$5)),IF(Dashboard!$B$14="LTV per Customer ($)",IF($B5&gt;0,Dashboard!$B$4*IF(Dashboard!$B$5=Dashboard!$B$6,17,((1-Dashboard!$B$5+Dashboard!$B$6)^17-1)/(Dashboard!$B$6-Dashboard!$B$5)),0),"")))))</f>
        <v>0.31313180170800081</v>
      </c>
      <c r="T5" s="17">
        <f>IF(Dashboard!$B$14="Retention %",(1-Dashboard!$B$5)^17,IF(Dashboard!$B$14="MRR ($)",$B5*Dashboard!$B$4*(1-Dashboard!$B$5+Dashboard!$B$6)^17,IF(Dashboard!$B$14="Churned Customers",$B5*(1-(1-Dashboard!$B$5)^17),IF(Dashboard!$B$14="Cumulative Revenue ($)",$B5*Dashboard!$B$4*IF(Dashboard!$B$5=Dashboard!$B$6,18,((1-Dashboard!$B$5+Dashboard!$B$6)^18-1)/(Dashboard!$B$6-Dashboard!$B$5)),IF(Dashboard!$B$14="LTV per Customer ($)",IF($B5&gt;0,Dashboard!$B$4*IF(Dashboard!$B$5=Dashboard!$B$6,18,((1-Dashboard!$B$5+Dashboard!$B$6)^18-1)/(Dashboard!$B$6-Dashboard!$B$5)),0),"")))))</f>
        <v>0.29121257558844071</v>
      </c>
      <c r="U5" s="17">
        <f>IF(Dashboard!$B$14="Retention %",(1-Dashboard!$B$5)^18,IF(Dashboard!$B$14="MRR ($)",$B5*Dashboard!$B$4*(1-Dashboard!$B$5+Dashboard!$B$6)^18,IF(Dashboard!$B$14="Churned Customers",$B5*(1-(1-Dashboard!$B$5)^18),IF(Dashboard!$B$14="Cumulative Revenue ($)",$B5*Dashboard!$B$4*IF(Dashboard!$B$5=Dashboard!$B$6,19,((1-Dashboard!$B$5+Dashboard!$B$6)^19-1)/(Dashboard!$B$6-Dashboard!$B$5)),IF(Dashboard!$B$14="LTV per Customer ($)",IF($B5&gt;0,Dashboard!$B$4*IF(Dashboard!$B$5=Dashboard!$B$6,19,((1-Dashboard!$B$5+Dashboard!$B$6)^19-1)/(Dashboard!$B$6-Dashboard!$B$5)),0),"")))))</f>
        <v>0.27082769529724987</v>
      </c>
      <c r="V5" s="17">
        <f>IF(Dashboard!$B$14="Retention %",(1-Dashboard!$B$5)^19,IF(Dashboard!$B$14="MRR ($)",$B5*Dashboard!$B$4*(1-Dashboard!$B$5+Dashboard!$B$6)^19,IF(Dashboard!$B$14="Churned Customers",$B5*(1-(1-Dashboard!$B$5)^19),IF(Dashboard!$B$14="Cumulative Revenue ($)",$B5*Dashboard!$B$4*IF(Dashboard!$B$5=Dashboard!$B$6,20,((1-Dashboard!$B$5+Dashboard!$B$6)^20-1)/(Dashboard!$B$6-Dashboard!$B$5)),IF(Dashboard!$B$14="LTV per Customer ($)",IF($B5&gt;0,Dashboard!$B$4*IF(Dashboard!$B$5=Dashboard!$B$6,20,((1-Dashboard!$B$5+Dashboard!$B$6)^20-1)/(Dashboard!$B$6-Dashboard!$B$5)),0),"")))))</f>
        <v>0.2518697566264424</v>
      </c>
      <c r="W5" s="17">
        <f>IF(Dashboard!$B$14="Retention %",(1-Dashboard!$B$5)^20,IF(Dashboard!$B$14="MRR ($)",$B5*Dashboard!$B$4*(1-Dashboard!$B$5+Dashboard!$B$6)^20,IF(Dashboard!$B$14="Churned Customers",$B5*(1-(1-Dashboard!$B$5)^20),IF(Dashboard!$B$14="Cumulative Revenue ($)",$B5*Dashboard!$B$4*IF(Dashboard!$B$5=Dashboard!$B$6,21,((1-Dashboard!$B$5+Dashboard!$B$6)^21-1)/(Dashboard!$B$6-Dashboard!$B$5)),IF(Dashboard!$B$14="LTV per Customer ($)",IF($B5&gt;0,Dashboard!$B$4*IF(Dashboard!$B$5=Dashboard!$B$6,21,((1-Dashboard!$B$5+Dashboard!$B$6)^21-1)/(Dashboard!$B$6-Dashboard!$B$5)),0),"")))))</f>
        <v>0.23423887366259136</v>
      </c>
      <c r="X5" s="17">
        <f>IF(Dashboard!$B$14="Retention %",(1-Dashboard!$B$5)^21,IF(Dashboard!$B$14="MRR ($)",$B5*Dashboard!$B$4*(1-Dashboard!$B$5+Dashboard!$B$6)^21,IF(Dashboard!$B$14="Churned Customers",$B5*(1-(1-Dashboard!$B$5)^21),IF(Dashboard!$B$14="Cumulative Revenue ($)",$B5*Dashboard!$B$4*IF(Dashboard!$B$5=Dashboard!$B$6,22,((1-Dashboard!$B$5+Dashboard!$B$6)^22-1)/(Dashboard!$B$6-Dashboard!$B$5)),IF(Dashboard!$B$14="LTV per Customer ($)",IF($B5&gt;0,Dashboard!$B$4*IF(Dashboard!$B$5=Dashboard!$B$6,22,((1-Dashboard!$B$5+Dashboard!$B$6)^22-1)/(Dashboard!$B$6-Dashboard!$B$5)),0),"")))))</f>
        <v>0.21784215250620997</v>
      </c>
      <c r="Y5" s="17">
        <f>IF(Dashboard!$B$14="Retention %",(1-Dashboard!$B$5)^22,IF(Dashboard!$B$14="MRR ($)",$B5*Dashboard!$B$4*(1-Dashboard!$B$5+Dashboard!$B$6)^22,IF(Dashboard!$B$14="Churned Customers",$B5*(1-(1-Dashboard!$B$5)^22),IF(Dashboard!$B$14="Cumulative Revenue ($)",$B5*Dashboard!$B$4*IF(Dashboard!$B$5=Dashboard!$B$6,23,((1-Dashboard!$B$5+Dashboard!$B$6)^23-1)/(Dashboard!$B$6-Dashboard!$B$5)),IF(Dashboard!$B$14="LTV per Customer ($)",IF($B5&gt;0,Dashboard!$B$4*IF(Dashboard!$B$5=Dashboard!$B$6,23,((1-Dashboard!$B$5+Dashboard!$B$6)^23-1)/(Dashboard!$B$6-Dashboard!$B$5)),0),"")))))</f>
        <v>0.20259320183077525</v>
      </c>
      <c r="Z5" s="17">
        <f>IF(Dashboard!$B$14="Retention %",(1-Dashboard!$B$5)^23,IF(Dashboard!$B$14="MRR ($)",$B5*Dashboard!$B$4*(1-Dashboard!$B$5+Dashboard!$B$6)^23,IF(Dashboard!$B$14="Churned Customers",$B5*(1-(1-Dashboard!$B$5)^23),IF(Dashboard!$B$14="Cumulative Revenue ($)",$B5*Dashboard!$B$4*IF(Dashboard!$B$5=Dashboard!$B$6,24,((1-Dashboard!$B$5+Dashboard!$B$6)^24-1)/(Dashboard!$B$6-Dashboard!$B$5)),IF(Dashboard!$B$14="LTV per Customer ($)",IF($B5&gt;0,Dashboard!$B$4*IF(Dashboard!$B$5=Dashboard!$B$6,24,((1-Dashboard!$B$5+Dashboard!$B$6)^24-1)/(Dashboard!$B$6-Dashboard!$B$5)),0),"")))))</f>
        <v>0.18841167770262096</v>
      </c>
      <c r="AA5" s="17">
        <f>IF(Dashboard!$B$14="Retention %",(1-Dashboard!$B$5)^24,IF(Dashboard!$B$14="MRR ($)",$B5*Dashboard!$B$4*(1-Dashboard!$B$5+Dashboard!$B$6)^24,IF(Dashboard!$B$14="Churned Customers",$B5*(1-(1-Dashboard!$B$5)^24),IF(Dashboard!$B$14="Cumulative Revenue ($)",$B5*Dashboard!$B$4*IF(Dashboard!$B$5=Dashboard!$B$6,25,((1-Dashboard!$B$5+Dashboard!$B$6)^25-1)/(Dashboard!$B$6-Dashboard!$B$5)),IF(Dashboard!$B$14="LTV per Customer ($)",IF($B5&gt;0,Dashboard!$B$4*IF(Dashboard!$B$5=Dashboard!$B$6,25,((1-Dashboard!$B$5+Dashboard!$B$6)^25-1)/(Dashboard!$B$6-Dashboard!$B$5)),0),"")))))</f>
        <v>0.1752228602634375</v>
      </c>
      <c r="AB5" s="17">
        <f>IF(Dashboard!$B$14="Retention %",(1-Dashboard!$B$5)^25,IF(Dashboard!$B$14="MRR ($)",$B5*Dashboard!$B$4*(1-Dashboard!$B$5+Dashboard!$B$6)^25,IF(Dashboard!$B$14="Churned Customers",$B5*(1-(1-Dashboard!$B$5)^25),IF(Dashboard!$B$14="Cumulative Revenue ($)",$B5*Dashboard!$B$4*IF(Dashboard!$B$5=Dashboard!$B$6,26,((1-Dashboard!$B$5+Dashboard!$B$6)^26-1)/(Dashboard!$B$6-Dashboard!$B$5)),IF(Dashboard!$B$14="LTV per Customer ($)",IF($B5&gt;0,Dashboard!$B$4*IF(Dashboard!$B$5=Dashboard!$B$6,26,((1-Dashboard!$B$5+Dashboard!$B$6)^26-1)/(Dashboard!$B$6-Dashboard!$B$5)),0),"")))))</f>
        <v>0.16295726004499683</v>
      </c>
      <c r="AC5" s="17">
        <f>IF(Dashboard!$B$14="Retention %",(1-Dashboard!$B$5)^26,IF(Dashboard!$B$14="MRR ($)",$B5*Dashboard!$B$4*(1-Dashboard!$B$5+Dashboard!$B$6)^26,IF(Dashboard!$B$14="Churned Customers",$B5*(1-(1-Dashboard!$B$5)^26),IF(Dashboard!$B$14="Cumulative Revenue ($)",$B5*Dashboard!$B$4*IF(Dashboard!$B$5=Dashboard!$B$6,27,((1-Dashboard!$B$5+Dashboard!$B$6)^27-1)/(Dashboard!$B$6-Dashboard!$B$5)),IF(Dashboard!$B$14="LTV per Customer ($)",IF($B5&gt;0,Dashboard!$B$4*IF(Dashboard!$B$5=Dashboard!$B$6,27,((1-Dashboard!$B$5+Dashboard!$B$6)^27-1)/(Dashboard!$B$6-Dashboard!$B$5)),0),"")))))</f>
        <v>0.15155025184184706</v>
      </c>
      <c r="AD5" s="17">
        <f>IF(Dashboard!$B$14="Retention %",(1-Dashboard!$B$5)^27,IF(Dashboard!$B$14="MRR ($)",$B5*Dashboard!$B$4*(1-Dashboard!$B$5+Dashboard!$B$6)^27,IF(Dashboard!$B$14="Churned Customers",$B5*(1-(1-Dashboard!$B$5)^27),IF(Dashboard!$B$14="Cumulative Revenue ($)",$B5*Dashboard!$B$4*IF(Dashboard!$B$5=Dashboard!$B$6,28,((1-Dashboard!$B$5+Dashboard!$B$6)^28-1)/(Dashboard!$B$6-Dashboard!$B$5)),IF(Dashboard!$B$14="LTV per Customer ($)",IF($B5&gt;0,Dashboard!$B$4*IF(Dashboard!$B$5=Dashboard!$B$6,28,((1-Dashboard!$B$5+Dashboard!$B$6)^28-1)/(Dashboard!$B$6-Dashboard!$B$5)),0),"")))))</f>
        <v>0.14094173421291775</v>
      </c>
      <c r="AE5" s="17">
        <f>IF(Dashboard!$B$14="Retention %",(1-Dashboard!$B$5)^28,IF(Dashboard!$B$14="MRR ($)",$B5*Dashboard!$B$4*(1-Dashboard!$B$5+Dashboard!$B$6)^28,IF(Dashboard!$B$14="Churned Customers",$B5*(1-(1-Dashboard!$B$5)^28),IF(Dashboard!$B$14="Cumulative Revenue ($)",$B5*Dashboard!$B$4*IF(Dashboard!$B$5=Dashboard!$B$6,29,((1-Dashboard!$B$5+Dashboard!$B$6)^29-1)/(Dashboard!$B$6-Dashboard!$B$5)),IF(Dashboard!$B$14="LTV per Customer ($)",IF($B5&gt;0,Dashboard!$B$4*IF(Dashboard!$B$5=Dashboard!$B$6,29,((1-Dashboard!$B$5+Dashboard!$B$6)^29-1)/(Dashboard!$B$6-Dashboard!$B$5)),0),"")))))</f>
        <v>0.1310758128180135</v>
      </c>
      <c r="AF5" s="17">
        <f>IF(Dashboard!$B$14="Retention %",(1-Dashboard!$B$5)^29,IF(Dashboard!$B$14="MRR ($)",$B5*Dashboard!$B$4*(1-Dashboard!$B$5+Dashboard!$B$6)^29,IF(Dashboard!$B$14="Churned Customers",$B5*(1-(1-Dashboard!$B$5)^29),IF(Dashboard!$B$14="Cumulative Revenue ($)",$B5*Dashboard!$B$4*IF(Dashboard!$B$5=Dashboard!$B$6,30,((1-Dashboard!$B$5+Dashboard!$B$6)^30-1)/(Dashboard!$B$6-Dashboard!$B$5)),IF(Dashboard!$B$14="LTV per Customer ($)",IF($B5&gt;0,Dashboard!$B$4*IF(Dashboard!$B$5=Dashboard!$B$6,30,((1-Dashboard!$B$5+Dashboard!$B$6)^30-1)/(Dashboard!$B$6-Dashboard!$B$5)),0),"")))))</f>
        <v>0.12190050592075255</v>
      </c>
      <c r="AG5" s="17">
        <f>IF(Dashboard!$B$14="Retention %",(1-Dashboard!$B$5)^30,IF(Dashboard!$B$14="MRR ($)",$B5*Dashboard!$B$4*(1-Dashboard!$B$5+Dashboard!$B$6)^30,IF(Dashboard!$B$14="Churned Customers",$B5*(1-(1-Dashboard!$B$5)^30),IF(Dashboard!$B$14="Cumulative Revenue ($)",$B5*Dashboard!$B$4*IF(Dashboard!$B$5=Dashboard!$B$6,31,((1-Dashboard!$B$5+Dashboard!$B$6)^31-1)/(Dashboard!$B$6-Dashboard!$B$5)),IF(Dashboard!$B$14="LTV per Customer ($)",IF($B5&gt;0,Dashboard!$B$4*IF(Dashboard!$B$5=Dashboard!$B$6,31,((1-Dashboard!$B$5+Dashboard!$B$6)^31-1)/(Dashboard!$B$6-Dashboard!$B$5)),0),"")))))</f>
        <v>0.11336747050629986</v>
      </c>
      <c r="AH5" s="17">
        <f>IF(Dashboard!$B$14="Retention %",(1-Dashboard!$B$5)^31,IF(Dashboard!$B$14="MRR ($)",$B5*Dashboard!$B$4*(1-Dashboard!$B$5+Dashboard!$B$6)^31,IF(Dashboard!$B$14="Churned Customers",$B5*(1-(1-Dashboard!$B$5)^31),IF(Dashboard!$B$14="Cumulative Revenue ($)",$B5*Dashboard!$B$4*IF(Dashboard!$B$5=Dashboard!$B$6,32,((1-Dashboard!$B$5+Dashboard!$B$6)^32-1)/(Dashboard!$B$6-Dashboard!$B$5)),IF(Dashboard!$B$14="LTV per Customer ($)",IF($B5&gt;0,Dashboard!$B$4*IF(Dashboard!$B$5=Dashboard!$B$6,32,((1-Dashboard!$B$5+Dashboard!$B$6)^32-1)/(Dashboard!$B$6-Dashboard!$B$5)),0),"")))))</f>
        <v>0.10543174757085887</v>
      </c>
      <c r="AI5" s="17">
        <f>IF(Dashboard!$B$14="Retention %",(1-Dashboard!$B$5)^32,IF(Dashboard!$B$14="MRR ($)",$B5*Dashboard!$B$4*(1-Dashboard!$B$5+Dashboard!$B$6)^32,IF(Dashboard!$B$14="Churned Customers",$B5*(1-(1-Dashboard!$B$5)^32),IF(Dashboard!$B$14="Cumulative Revenue ($)",$B5*Dashboard!$B$4*IF(Dashboard!$B$5=Dashboard!$B$6,33,((1-Dashboard!$B$5+Dashboard!$B$6)^33-1)/(Dashboard!$B$6-Dashboard!$B$5)),IF(Dashboard!$B$14="LTV per Customer ($)",IF($B5&gt;0,Dashboard!$B$4*IF(Dashboard!$B$5=Dashboard!$B$6,33,((1-Dashboard!$B$5+Dashboard!$B$6)^33-1)/(Dashboard!$B$6-Dashboard!$B$5)),0),"")))))</f>
        <v>9.8051525240898746E-2</v>
      </c>
      <c r="AJ5" s="17">
        <f>IF(Dashboard!$B$14="Retention %",(1-Dashboard!$B$5)^33,IF(Dashboard!$B$14="MRR ($)",$B5*Dashboard!$B$4*(1-Dashboard!$B$5+Dashboard!$B$6)^33,IF(Dashboard!$B$14="Churned Customers",$B5*(1-(1-Dashboard!$B$5)^33),IF(Dashboard!$B$14="Cumulative Revenue ($)",$B5*Dashboard!$B$4*IF(Dashboard!$B$5=Dashboard!$B$6,34,((1-Dashboard!$B$5+Dashboard!$B$6)^34-1)/(Dashboard!$B$6-Dashboard!$B$5)),IF(Dashboard!$B$14="LTV per Customer ($)",IF($B5&gt;0,Dashboard!$B$4*IF(Dashboard!$B$5=Dashboard!$B$6,34,((1-Dashboard!$B$5+Dashboard!$B$6)^34-1)/(Dashboard!$B$6-Dashboard!$B$5)),0),"")))))</f>
        <v>9.1187918474035831E-2</v>
      </c>
      <c r="AK5" s="17"/>
      <c r="AL5" s="22"/>
    </row>
    <row r="6" spans="1:38" x14ac:dyDescent="0.35">
      <c r="A6" s="40" t="s">
        <v>88</v>
      </c>
      <c r="B6" s="44">
        <v>1</v>
      </c>
      <c r="C6" s="46">
        <f>IF(Dashboard!$B$14="Retention %",1,IF(Dashboard!$B$14="MRR ($)",$B6*Dashboard!$B$4,IF(Dashboard!$B$14="Churned Customers",0,IF(Dashboard!$B$14="Cumulative Revenue ($)",$B6*Dashboard!$B$4,IF(Dashboard!$B$14="LTV per Customer ($)",IF($B6&gt;0,Dashboard!$B$4,0),"")))))</f>
        <v>1</v>
      </c>
      <c r="D6" s="36">
        <f>IF(Dashboard!$B$14="Retention %",(1-Dashboard!$B$5)^1,IF(Dashboard!$B$14="MRR ($)",$B6*Dashboard!$B$4*(1-Dashboard!$B$5+Dashboard!$B$6)^1,IF(Dashboard!$B$14="Churned Customers",$B6*(1-(1-Dashboard!$B$5)^1),IF(Dashboard!$B$14="Cumulative Revenue ($)",$B6*Dashboard!$B$4*IF(Dashboard!$B$5=Dashboard!$B$6,2,((1-Dashboard!$B$5+Dashboard!$B$6)^2-1)/(Dashboard!$B$6-Dashboard!$B$5)),IF(Dashboard!$B$14="LTV per Customer ($)",IF($B6&gt;0,Dashboard!$B$4*IF(Dashboard!$B$5=Dashboard!$B$6,2,((1-Dashboard!$B$5+Dashboard!$B$6)^2-1)/(Dashboard!$B$6-Dashboard!$B$5)),0),"")))))</f>
        <v>0.92999999999999994</v>
      </c>
      <c r="E6" s="36">
        <f>IF(Dashboard!$B$14="Retention %",(1-Dashboard!$B$5)^2,IF(Dashboard!$B$14="MRR ($)",$B6*Dashboard!$B$4*(1-Dashboard!$B$5+Dashboard!$B$6)^2,IF(Dashboard!$B$14="Churned Customers",$B6*(1-(1-Dashboard!$B$5)^2),IF(Dashboard!$B$14="Cumulative Revenue ($)",$B6*Dashboard!$B$4*IF(Dashboard!$B$5=Dashboard!$B$6,3,((1-Dashboard!$B$5+Dashboard!$B$6)^3-1)/(Dashboard!$B$6-Dashboard!$B$5)),IF(Dashboard!$B$14="LTV per Customer ($)",IF($B6&gt;0,Dashboard!$B$4*IF(Dashboard!$B$5=Dashboard!$B$6,3,((1-Dashboard!$B$5+Dashboard!$B$6)^3-1)/(Dashboard!$B$6-Dashboard!$B$5)),0),"")))))</f>
        <v>0.86489999999999989</v>
      </c>
      <c r="F6" s="36">
        <f>IF(Dashboard!$B$14="Retention %",(1-Dashboard!$B$5)^3,IF(Dashboard!$B$14="MRR ($)",$B6*Dashboard!$B$4*(1-Dashboard!$B$5+Dashboard!$B$6)^3,IF(Dashboard!$B$14="Churned Customers",$B6*(1-(1-Dashboard!$B$5)^3),IF(Dashboard!$B$14="Cumulative Revenue ($)",$B6*Dashboard!$B$4*IF(Dashboard!$B$5=Dashboard!$B$6,4,((1-Dashboard!$B$5+Dashboard!$B$6)^4-1)/(Dashboard!$B$6-Dashboard!$B$5)),IF(Dashboard!$B$14="LTV per Customer ($)",IF($B6&gt;0,Dashboard!$B$4*IF(Dashboard!$B$5=Dashboard!$B$6,4,((1-Dashboard!$B$5+Dashboard!$B$6)^4-1)/(Dashboard!$B$6-Dashboard!$B$5)),0),"")))))</f>
        <v>0.80435699999999988</v>
      </c>
      <c r="G6" s="36">
        <f>IF(Dashboard!$B$14="Retention %",(1-Dashboard!$B$5)^4,IF(Dashboard!$B$14="MRR ($)",$B6*Dashboard!$B$4*(1-Dashboard!$B$5+Dashboard!$B$6)^4,IF(Dashboard!$B$14="Churned Customers",$B6*(1-(1-Dashboard!$B$5)^4),IF(Dashboard!$B$14="Cumulative Revenue ($)",$B6*Dashboard!$B$4*IF(Dashboard!$B$5=Dashboard!$B$6,5,((1-Dashboard!$B$5+Dashboard!$B$6)^5-1)/(Dashboard!$B$6-Dashboard!$B$5)),IF(Dashboard!$B$14="LTV per Customer ($)",IF($B6&gt;0,Dashboard!$B$4*IF(Dashboard!$B$5=Dashboard!$B$6,5,((1-Dashboard!$B$5+Dashboard!$B$6)^5-1)/(Dashboard!$B$6-Dashboard!$B$5)),0),"")))))</f>
        <v>0.74805200999999977</v>
      </c>
      <c r="H6" s="36">
        <f>IF(Dashboard!$B$14="Retention %",(1-Dashboard!$B$5)^5,IF(Dashboard!$B$14="MRR ($)",$B6*Dashboard!$B$4*(1-Dashboard!$B$5+Dashboard!$B$6)^5,IF(Dashboard!$B$14="Churned Customers",$B6*(1-(1-Dashboard!$B$5)^5),IF(Dashboard!$B$14="Cumulative Revenue ($)",$B6*Dashboard!$B$4*IF(Dashboard!$B$5=Dashboard!$B$6,6,((1-Dashboard!$B$5+Dashboard!$B$6)^6-1)/(Dashboard!$B$6-Dashboard!$B$5)),IF(Dashboard!$B$14="LTV per Customer ($)",IF($B6&gt;0,Dashboard!$B$4*IF(Dashboard!$B$5=Dashboard!$B$6,6,((1-Dashboard!$B$5+Dashboard!$B$6)^6-1)/(Dashboard!$B$6-Dashboard!$B$5)),0),"")))))</f>
        <v>0.69568836929999978</v>
      </c>
      <c r="I6" s="36">
        <f>IF(Dashboard!$B$14="Retention %",(1-Dashboard!$B$5)^6,IF(Dashboard!$B$14="MRR ($)",$B6*Dashboard!$B$4*(1-Dashboard!$B$5+Dashboard!$B$6)^6,IF(Dashboard!$B$14="Churned Customers",$B6*(1-(1-Dashboard!$B$5)^6),IF(Dashboard!$B$14="Cumulative Revenue ($)",$B6*Dashboard!$B$4*IF(Dashboard!$B$5=Dashboard!$B$6,7,((1-Dashboard!$B$5+Dashboard!$B$6)^7-1)/(Dashboard!$B$6-Dashboard!$B$5)),IF(Dashboard!$B$14="LTV per Customer ($)",IF($B6&gt;0,Dashboard!$B$4*IF(Dashboard!$B$5=Dashboard!$B$6,7,((1-Dashboard!$B$5+Dashboard!$B$6)^7-1)/(Dashboard!$B$6-Dashboard!$B$5)),0),"")))))</f>
        <v>0.64699018344899972</v>
      </c>
      <c r="J6" s="36">
        <f>IF(Dashboard!$B$14="Retention %",(1-Dashboard!$B$5)^7,IF(Dashboard!$B$14="MRR ($)",$B6*Dashboard!$B$4*(1-Dashboard!$B$5+Dashboard!$B$6)^7,IF(Dashboard!$B$14="Churned Customers",$B6*(1-(1-Dashboard!$B$5)^7),IF(Dashboard!$B$14="Cumulative Revenue ($)",$B6*Dashboard!$B$4*IF(Dashboard!$B$5=Dashboard!$B$6,8,((1-Dashboard!$B$5+Dashboard!$B$6)^8-1)/(Dashboard!$B$6-Dashboard!$B$5)),IF(Dashboard!$B$14="LTV per Customer ($)",IF($B6&gt;0,Dashboard!$B$4*IF(Dashboard!$B$5=Dashboard!$B$6,8,((1-Dashboard!$B$5+Dashboard!$B$6)^8-1)/(Dashboard!$B$6-Dashboard!$B$5)),0),"")))))</f>
        <v>0.60170087060756972</v>
      </c>
      <c r="K6" s="36">
        <f>IF(Dashboard!$B$14="Retention %",(1-Dashboard!$B$5)^8,IF(Dashboard!$B$14="MRR ($)",$B6*Dashboard!$B$4*(1-Dashboard!$B$5+Dashboard!$B$6)^8,IF(Dashboard!$B$14="Churned Customers",$B6*(1-(1-Dashboard!$B$5)^8),IF(Dashboard!$B$14="Cumulative Revenue ($)",$B6*Dashboard!$B$4*IF(Dashboard!$B$5=Dashboard!$B$6,9,((1-Dashboard!$B$5+Dashboard!$B$6)^9-1)/(Dashboard!$B$6-Dashboard!$B$5)),IF(Dashboard!$B$14="LTV per Customer ($)",IF($B6&gt;0,Dashboard!$B$4*IF(Dashboard!$B$5=Dashboard!$B$6,9,((1-Dashboard!$B$5+Dashboard!$B$6)^9-1)/(Dashboard!$B$6-Dashboard!$B$5)),0),"")))))</f>
        <v>0.55958180966503979</v>
      </c>
      <c r="L6" s="36">
        <f>IF(Dashboard!$B$14="Retention %",(1-Dashboard!$B$5)^9,IF(Dashboard!$B$14="MRR ($)",$B6*Dashboard!$B$4*(1-Dashboard!$B$5+Dashboard!$B$6)^9,IF(Dashboard!$B$14="Churned Customers",$B6*(1-(1-Dashboard!$B$5)^9),IF(Dashboard!$B$14="Cumulative Revenue ($)",$B6*Dashboard!$B$4*IF(Dashboard!$B$5=Dashboard!$B$6,10,((1-Dashboard!$B$5+Dashboard!$B$6)^10-1)/(Dashboard!$B$6-Dashboard!$B$5)),IF(Dashboard!$B$14="LTV per Customer ($)",IF($B6&gt;0,Dashboard!$B$4*IF(Dashboard!$B$5=Dashboard!$B$6,10,((1-Dashboard!$B$5+Dashboard!$B$6)^10-1)/(Dashboard!$B$6-Dashboard!$B$5)),0),"")))))</f>
        <v>0.52041108298848693</v>
      </c>
      <c r="M6" s="16">
        <f>IF(Dashboard!$B$14="Retention %",(1-Dashboard!$B$5)^10,IF(Dashboard!$B$14="MRR ($)",$B6*Dashboard!$B$4*(1-Dashboard!$B$5+Dashboard!$B$6)^10,IF(Dashboard!$B$14="Churned Customers",$B6*(1-(1-Dashboard!$B$5)^10),IF(Dashboard!$B$14="Cumulative Revenue ($)",$B6*Dashboard!$B$4*IF(Dashboard!$B$5=Dashboard!$B$6,11,((1-Dashboard!$B$5+Dashboard!$B$6)^11-1)/(Dashboard!$B$6-Dashboard!$B$5)),IF(Dashboard!$B$14="LTV per Customer ($)",IF($B6&gt;0,Dashboard!$B$4*IF(Dashboard!$B$5=Dashboard!$B$6,11,((1-Dashboard!$B$5+Dashboard!$B$6)^11-1)/(Dashboard!$B$6-Dashboard!$B$5)),0),"")))))</f>
        <v>0.48398230717929286</v>
      </c>
      <c r="N6" s="16">
        <f>IF(Dashboard!$B$14="Retention %",(1-Dashboard!$B$5)^11,IF(Dashboard!$B$14="MRR ($)",$B6*Dashboard!$B$4*(1-Dashboard!$B$5+Dashboard!$B$6)^11,IF(Dashboard!$B$14="Churned Customers",$B6*(1-(1-Dashboard!$B$5)^11),IF(Dashboard!$B$14="Cumulative Revenue ($)",$B6*Dashboard!$B$4*IF(Dashboard!$B$5=Dashboard!$B$6,12,((1-Dashboard!$B$5+Dashboard!$B$6)^12-1)/(Dashboard!$B$6-Dashboard!$B$5)),IF(Dashboard!$B$14="LTV per Customer ($)",IF($B6&gt;0,Dashboard!$B$4*IF(Dashboard!$B$5=Dashboard!$B$6,12,((1-Dashboard!$B$5+Dashboard!$B$6)^12-1)/(Dashboard!$B$6-Dashboard!$B$5)),0),"")))))</f>
        <v>0.45010354567674232</v>
      </c>
      <c r="O6" s="16">
        <f>IF(Dashboard!$B$14="Retention %",(1-Dashboard!$B$5)^12,IF(Dashboard!$B$14="MRR ($)",$B6*Dashboard!$B$4*(1-Dashboard!$B$5+Dashboard!$B$6)^12,IF(Dashboard!$B$14="Churned Customers",$B6*(1-(1-Dashboard!$B$5)^12),IF(Dashboard!$B$14="Cumulative Revenue ($)",$B6*Dashboard!$B$4*IF(Dashboard!$B$5=Dashboard!$B$6,13,((1-Dashboard!$B$5+Dashboard!$B$6)^13-1)/(Dashboard!$B$6-Dashboard!$B$5)),IF(Dashboard!$B$14="LTV per Customer ($)",IF($B6&gt;0,Dashboard!$B$4*IF(Dashboard!$B$5=Dashboard!$B$6,13,((1-Dashboard!$B$5+Dashboard!$B$6)^13-1)/(Dashboard!$B$6-Dashboard!$B$5)),0),"")))))</f>
        <v>0.41859629747937033</v>
      </c>
      <c r="P6" s="16">
        <f>IF(Dashboard!$B$14="Retention %",(1-Dashboard!$B$5)^13,IF(Dashboard!$B$14="MRR ($)",$B6*Dashboard!$B$4*(1-Dashboard!$B$5+Dashboard!$B$6)^13,IF(Dashboard!$B$14="Churned Customers",$B6*(1-(1-Dashboard!$B$5)^13),IF(Dashboard!$B$14="Cumulative Revenue ($)",$B6*Dashboard!$B$4*IF(Dashboard!$B$5=Dashboard!$B$6,14,((1-Dashboard!$B$5+Dashboard!$B$6)^14-1)/(Dashboard!$B$6-Dashboard!$B$5)),IF(Dashboard!$B$14="LTV per Customer ($)",IF($B6&gt;0,Dashboard!$B$4*IF(Dashboard!$B$5=Dashboard!$B$6,14,((1-Dashboard!$B$5+Dashboard!$B$6)^14-1)/(Dashboard!$B$6-Dashboard!$B$5)),0),"")))))</f>
        <v>0.38929455665581436</v>
      </c>
      <c r="Q6" s="16">
        <f>IF(Dashboard!$B$14="Retention %",(1-Dashboard!$B$5)^14,IF(Dashboard!$B$14="MRR ($)",$B6*Dashboard!$B$4*(1-Dashboard!$B$5+Dashboard!$B$6)^14,IF(Dashboard!$B$14="Churned Customers",$B6*(1-(1-Dashboard!$B$5)^14),IF(Dashboard!$B$14="Cumulative Revenue ($)",$B6*Dashboard!$B$4*IF(Dashboard!$B$5=Dashboard!$B$6,15,((1-Dashboard!$B$5+Dashboard!$B$6)^15-1)/(Dashboard!$B$6-Dashboard!$B$5)),IF(Dashboard!$B$14="LTV per Customer ($)",IF($B6&gt;0,Dashboard!$B$4*IF(Dashboard!$B$5=Dashboard!$B$6,15,((1-Dashboard!$B$5+Dashboard!$B$6)^15-1)/(Dashboard!$B$6-Dashboard!$B$5)),0),"")))))</f>
        <v>0.36204393768990734</v>
      </c>
      <c r="R6" s="16">
        <f>IF(Dashboard!$B$14="Retention %",(1-Dashboard!$B$5)^15,IF(Dashboard!$B$14="MRR ($)",$B6*Dashboard!$B$4*(1-Dashboard!$B$5+Dashboard!$B$6)^15,IF(Dashboard!$B$14="Churned Customers",$B6*(1-(1-Dashboard!$B$5)^15),IF(Dashboard!$B$14="Cumulative Revenue ($)",$B6*Dashboard!$B$4*IF(Dashboard!$B$5=Dashboard!$B$6,16,((1-Dashboard!$B$5+Dashboard!$B$6)^16-1)/(Dashboard!$B$6-Dashboard!$B$5)),IF(Dashboard!$B$14="LTV per Customer ($)",IF($B6&gt;0,Dashboard!$B$4*IF(Dashboard!$B$5=Dashboard!$B$6,16,((1-Dashboard!$B$5+Dashboard!$B$6)^16-1)/(Dashboard!$B$6-Dashboard!$B$5)),0),"")))))</f>
        <v>0.33670086205161381</v>
      </c>
      <c r="S6" s="16">
        <f>IF(Dashboard!$B$14="Retention %",(1-Dashboard!$B$5)^16,IF(Dashboard!$B$14="MRR ($)",$B6*Dashboard!$B$4*(1-Dashboard!$B$5+Dashboard!$B$6)^16,IF(Dashboard!$B$14="Churned Customers",$B6*(1-(1-Dashboard!$B$5)^16),IF(Dashboard!$B$14="Cumulative Revenue ($)",$B6*Dashboard!$B$4*IF(Dashboard!$B$5=Dashboard!$B$6,17,((1-Dashboard!$B$5+Dashboard!$B$6)^17-1)/(Dashboard!$B$6-Dashboard!$B$5)),IF(Dashboard!$B$14="LTV per Customer ($)",IF($B6&gt;0,Dashboard!$B$4*IF(Dashboard!$B$5=Dashboard!$B$6,17,((1-Dashboard!$B$5+Dashboard!$B$6)^17-1)/(Dashboard!$B$6-Dashboard!$B$5)),0),"")))))</f>
        <v>0.31313180170800081</v>
      </c>
      <c r="T6" s="16">
        <f>IF(Dashboard!$B$14="Retention %",(1-Dashboard!$B$5)^17,IF(Dashboard!$B$14="MRR ($)",$B6*Dashboard!$B$4*(1-Dashboard!$B$5+Dashboard!$B$6)^17,IF(Dashboard!$B$14="Churned Customers",$B6*(1-(1-Dashboard!$B$5)^17),IF(Dashboard!$B$14="Cumulative Revenue ($)",$B6*Dashboard!$B$4*IF(Dashboard!$B$5=Dashboard!$B$6,18,((1-Dashboard!$B$5+Dashboard!$B$6)^18-1)/(Dashboard!$B$6-Dashboard!$B$5)),IF(Dashboard!$B$14="LTV per Customer ($)",IF($B6&gt;0,Dashboard!$B$4*IF(Dashboard!$B$5=Dashboard!$B$6,18,((1-Dashboard!$B$5+Dashboard!$B$6)^18-1)/(Dashboard!$B$6-Dashboard!$B$5)),0),"")))))</f>
        <v>0.29121257558844071</v>
      </c>
      <c r="U6" s="16">
        <f>IF(Dashboard!$B$14="Retention %",(1-Dashboard!$B$5)^18,IF(Dashboard!$B$14="MRR ($)",$B6*Dashboard!$B$4*(1-Dashboard!$B$5+Dashboard!$B$6)^18,IF(Dashboard!$B$14="Churned Customers",$B6*(1-(1-Dashboard!$B$5)^18),IF(Dashboard!$B$14="Cumulative Revenue ($)",$B6*Dashboard!$B$4*IF(Dashboard!$B$5=Dashboard!$B$6,19,((1-Dashboard!$B$5+Dashboard!$B$6)^19-1)/(Dashboard!$B$6-Dashboard!$B$5)),IF(Dashboard!$B$14="LTV per Customer ($)",IF($B6&gt;0,Dashboard!$B$4*IF(Dashboard!$B$5=Dashboard!$B$6,19,((1-Dashboard!$B$5+Dashboard!$B$6)^19-1)/(Dashboard!$B$6-Dashboard!$B$5)),0),"")))))</f>
        <v>0.27082769529724987</v>
      </c>
      <c r="V6" s="16">
        <f>IF(Dashboard!$B$14="Retention %",(1-Dashboard!$B$5)^19,IF(Dashboard!$B$14="MRR ($)",$B6*Dashboard!$B$4*(1-Dashboard!$B$5+Dashboard!$B$6)^19,IF(Dashboard!$B$14="Churned Customers",$B6*(1-(1-Dashboard!$B$5)^19),IF(Dashboard!$B$14="Cumulative Revenue ($)",$B6*Dashboard!$B$4*IF(Dashboard!$B$5=Dashboard!$B$6,20,((1-Dashboard!$B$5+Dashboard!$B$6)^20-1)/(Dashboard!$B$6-Dashboard!$B$5)),IF(Dashboard!$B$14="LTV per Customer ($)",IF($B6&gt;0,Dashboard!$B$4*IF(Dashboard!$B$5=Dashboard!$B$6,20,((1-Dashboard!$B$5+Dashboard!$B$6)^20-1)/(Dashboard!$B$6-Dashboard!$B$5)),0),"")))))</f>
        <v>0.2518697566264424</v>
      </c>
      <c r="W6" s="16">
        <f>IF(Dashboard!$B$14="Retention %",(1-Dashboard!$B$5)^20,IF(Dashboard!$B$14="MRR ($)",$B6*Dashboard!$B$4*(1-Dashboard!$B$5+Dashboard!$B$6)^20,IF(Dashboard!$B$14="Churned Customers",$B6*(1-(1-Dashboard!$B$5)^20),IF(Dashboard!$B$14="Cumulative Revenue ($)",$B6*Dashboard!$B$4*IF(Dashboard!$B$5=Dashboard!$B$6,21,((1-Dashboard!$B$5+Dashboard!$B$6)^21-1)/(Dashboard!$B$6-Dashboard!$B$5)),IF(Dashboard!$B$14="LTV per Customer ($)",IF($B6&gt;0,Dashboard!$B$4*IF(Dashboard!$B$5=Dashboard!$B$6,21,((1-Dashboard!$B$5+Dashboard!$B$6)^21-1)/(Dashboard!$B$6-Dashboard!$B$5)),0),"")))))</f>
        <v>0.23423887366259136</v>
      </c>
      <c r="X6" s="16">
        <f>IF(Dashboard!$B$14="Retention %",(1-Dashboard!$B$5)^21,IF(Dashboard!$B$14="MRR ($)",$B6*Dashboard!$B$4*(1-Dashboard!$B$5+Dashboard!$B$6)^21,IF(Dashboard!$B$14="Churned Customers",$B6*(1-(1-Dashboard!$B$5)^21),IF(Dashboard!$B$14="Cumulative Revenue ($)",$B6*Dashboard!$B$4*IF(Dashboard!$B$5=Dashboard!$B$6,22,((1-Dashboard!$B$5+Dashboard!$B$6)^22-1)/(Dashboard!$B$6-Dashboard!$B$5)),IF(Dashboard!$B$14="LTV per Customer ($)",IF($B6&gt;0,Dashboard!$B$4*IF(Dashboard!$B$5=Dashboard!$B$6,22,((1-Dashboard!$B$5+Dashboard!$B$6)^22-1)/(Dashboard!$B$6-Dashboard!$B$5)),0),"")))))</f>
        <v>0.21784215250620997</v>
      </c>
      <c r="Y6" s="16">
        <f>IF(Dashboard!$B$14="Retention %",(1-Dashboard!$B$5)^22,IF(Dashboard!$B$14="MRR ($)",$B6*Dashboard!$B$4*(1-Dashboard!$B$5+Dashboard!$B$6)^22,IF(Dashboard!$B$14="Churned Customers",$B6*(1-(1-Dashboard!$B$5)^22),IF(Dashboard!$B$14="Cumulative Revenue ($)",$B6*Dashboard!$B$4*IF(Dashboard!$B$5=Dashboard!$B$6,23,((1-Dashboard!$B$5+Dashboard!$B$6)^23-1)/(Dashboard!$B$6-Dashboard!$B$5)),IF(Dashboard!$B$14="LTV per Customer ($)",IF($B6&gt;0,Dashboard!$B$4*IF(Dashboard!$B$5=Dashboard!$B$6,23,((1-Dashboard!$B$5+Dashboard!$B$6)^23-1)/(Dashboard!$B$6-Dashboard!$B$5)),0),"")))))</f>
        <v>0.20259320183077525</v>
      </c>
      <c r="Z6" s="16">
        <f>IF(Dashboard!$B$14="Retention %",(1-Dashboard!$B$5)^23,IF(Dashboard!$B$14="MRR ($)",$B6*Dashboard!$B$4*(1-Dashboard!$B$5+Dashboard!$B$6)^23,IF(Dashboard!$B$14="Churned Customers",$B6*(1-(1-Dashboard!$B$5)^23),IF(Dashboard!$B$14="Cumulative Revenue ($)",$B6*Dashboard!$B$4*IF(Dashboard!$B$5=Dashboard!$B$6,24,((1-Dashboard!$B$5+Dashboard!$B$6)^24-1)/(Dashboard!$B$6-Dashboard!$B$5)),IF(Dashboard!$B$14="LTV per Customer ($)",IF($B6&gt;0,Dashboard!$B$4*IF(Dashboard!$B$5=Dashboard!$B$6,24,((1-Dashboard!$B$5+Dashboard!$B$6)^24-1)/(Dashboard!$B$6-Dashboard!$B$5)),0),"")))))</f>
        <v>0.18841167770262096</v>
      </c>
      <c r="AA6" s="16">
        <f>IF(Dashboard!$B$14="Retention %",(1-Dashboard!$B$5)^24,IF(Dashboard!$B$14="MRR ($)",$B6*Dashboard!$B$4*(1-Dashboard!$B$5+Dashboard!$B$6)^24,IF(Dashboard!$B$14="Churned Customers",$B6*(1-(1-Dashboard!$B$5)^24),IF(Dashboard!$B$14="Cumulative Revenue ($)",$B6*Dashboard!$B$4*IF(Dashboard!$B$5=Dashboard!$B$6,25,((1-Dashboard!$B$5+Dashboard!$B$6)^25-1)/(Dashboard!$B$6-Dashboard!$B$5)),IF(Dashboard!$B$14="LTV per Customer ($)",IF($B6&gt;0,Dashboard!$B$4*IF(Dashboard!$B$5=Dashboard!$B$6,25,((1-Dashboard!$B$5+Dashboard!$B$6)^25-1)/(Dashboard!$B$6-Dashboard!$B$5)),0),"")))))</f>
        <v>0.1752228602634375</v>
      </c>
      <c r="AB6" s="16">
        <f>IF(Dashboard!$B$14="Retention %",(1-Dashboard!$B$5)^25,IF(Dashboard!$B$14="MRR ($)",$B6*Dashboard!$B$4*(1-Dashboard!$B$5+Dashboard!$B$6)^25,IF(Dashboard!$B$14="Churned Customers",$B6*(1-(1-Dashboard!$B$5)^25),IF(Dashboard!$B$14="Cumulative Revenue ($)",$B6*Dashboard!$B$4*IF(Dashboard!$B$5=Dashboard!$B$6,26,((1-Dashboard!$B$5+Dashboard!$B$6)^26-1)/(Dashboard!$B$6-Dashboard!$B$5)),IF(Dashboard!$B$14="LTV per Customer ($)",IF($B6&gt;0,Dashboard!$B$4*IF(Dashboard!$B$5=Dashboard!$B$6,26,((1-Dashboard!$B$5+Dashboard!$B$6)^26-1)/(Dashboard!$B$6-Dashboard!$B$5)),0),"")))))</f>
        <v>0.16295726004499683</v>
      </c>
      <c r="AC6" s="16">
        <f>IF(Dashboard!$B$14="Retention %",(1-Dashboard!$B$5)^26,IF(Dashboard!$B$14="MRR ($)",$B6*Dashboard!$B$4*(1-Dashboard!$B$5+Dashboard!$B$6)^26,IF(Dashboard!$B$14="Churned Customers",$B6*(1-(1-Dashboard!$B$5)^26),IF(Dashboard!$B$14="Cumulative Revenue ($)",$B6*Dashboard!$B$4*IF(Dashboard!$B$5=Dashboard!$B$6,27,((1-Dashboard!$B$5+Dashboard!$B$6)^27-1)/(Dashboard!$B$6-Dashboard!$B$5)),IF(Dashboard!$B$14="LTV per Customer ($)",IF($B6&gt;0,Dashboard!$B$4*IF(Dashboard!$B$5=Dashboard!$B$6,27,((1-Dashboard!$B$5+Dashboard!$B$6)^27-1)/(Dashboard!$B$6-Dashboard!$B$5)),0),"")))))</f>
        <v>0.15155025184184706</v>
      </c>
      <c r="AD6" s="16">
        <f>IF(Dashboard!$B$14="Retention %",(1-Dashboard!$B$5)^27,IF(Dashboard!$B$14="MRR ($)",$B6*Dashboard!$B$4*(1-Dashboard!$B$5+Dashboard!$B$6)^27,IF(Dashboard!$B$14="Churned Customers",$B6*(1-(1-Dashboard!$B$5)^27),IF(Dashboard!$B$14="Cumulative Revenue ($)",$B6*Dashboard!$B$4*IF(Dashboard!$B$5=Dashboard!$B$6,28,((1-Dashboard!$B$5+Dashboard!$B$6)^28-1)/(Dashboard!$B$6-Dashboard!$B$5)),IF(Dashboard!$B$14="LTV per Customer ($)",IF($B6&gt;0,Dashboard!$B$4*IF(Dashboard!$B$5=Dashboard!$B$6,28,((1-Dashboard!$B$5+Dashboard!$B$6)^28-1)/(Dashboard!$B$6-Dashboard!$B$5)),0),"")))))</f>
        <v>0.14094173421291775</v>
      </c>
      <c r="AE6" s="16">
        <f>IF(Dashboard!$B$14="Retention %",(1-Dashboard!$B$5)^28,IF(Dashboard!$B$14="MRR ($)",$B6*Dashboard!$B$4*(1-Dashboard!$B$5+Dashboard!$B$6)^28,IF(Dashboard!$B$14="Churned Customers",$B6*(1-(1-Dashboard!$B$5)^28),IF(Dashboard!$B$14="Cumulative Revenue ($)",$B6*Dashboard!$B$4*IF(Dashboard!$B$5=Dashboard!$B$6,29,((1-Dashboard!$B$5+Dashboard!$B$6)^29-1)/(Dashboard!$B$6-Dashboard!$B$5)),IF(Dashboard!$B$14="LTV per Customer ($)",IF($B6&gt;0,Dashboard!$B$4*IF(Dashboard!$B$5=Dashboard!$B$6,29,((1-Dashboard!$B$5+Dashboard!$B$6)^29-1)/(Dashboard!$B$6-Dashboard!$B$5)),0),"")))))</f>
        <v>0.1310758128180135</v>
      </c>
      <c r="AF6" s="16">
        <f>IF(Dashboard!$B$14="Retention %",(1-Dashboard!$B$5)^29,IF(Dashboard!$B$14="MRR ($)",$B6*Dashboard!$B$4*(1-Dashboard!$B$5+Dashboard!$B$6)^29,IF(Dashboard!$B$14="Churned Customers",$B6*(1-(1-Dashboard!$B$5)^29),IF(Dashboard!$B$14="Cumulative Revenue ($)",$B6*Dashboard!$B$4*IF(Dashboard!$B$5=Dashboard!$B$6,30,((1-Dashboard!$B$5+Dashboard!$B$6)^30-1)/(Dashboard!$B$6-Dashboard!$B$5)),IF(Dashboard!$B$14="LTV per Customer ($)",IF($B6&gt;0,Dashboard!$B$4*IF(Dashboard!$B$5=Dashboard!$B$6,30,((1-Dashboard!$B$5+Dashboard!$B$6)^30-1)/(Dashboard!$B$6-Dashboard!$B$5)),0),"")))))</f>
        <v>0.12190050592075255</v>
      </c>
      <c r="AG6" s="16">
        <f>IF(Dashboard!$B$14="Retention %",(1-Dashboard!$B$5)^30,IF(Dashboard!$B$14="MRR ($)",$B6*Dashboard!$B$4*(1-Dashboard!$B$5+Dashboard!$B$6)^30,IF(Dashboard!$B$14="Churned Customers",$B6*(1-(1-Dashboard!$B$5)^30),IF(Dashboard!$B$14="Cumulative Revenue ($)",$B6*Dashboard!$B$4*IF(Dashboard!$B$5=Dashboard!$B$6,31,((1-Dashboard!$B$5+Dashboard!$B$6)^31-1)/(Dashboard!$B$6-Dashboard!$B$5)),IF(Dashboard!$B$14="LTV per Customer ($)",IF($B6&gt;0,Dashboard!$B$4*IF(Dashboard!$B$5=Dashboard!$B$6,31,((1-Dashboard!$B$5+Dashboard!$B$6)^31-1)/(Dashboard!$B$6-Dashboard!$B$5)),0),"")))))</f>
        <v>0.11336747050629986</v>
      </c>
      <c r="AH6" s="16">
        <f>IF(Dashboard!$B$14="Retention %",(1-Dashboard!$B$5)^31,IF(Dashboard!$B$14="MRR ($)",$B6*Dashboard!$B$4*(1-Dashboard!$B$5+Dashboard!$B$6)^31,IF(Dashboard!$B$14="Churned Customers",$B6*(1-(1-Dashboard!$B$5)^31),IF(Dashboard!$B$14="Cumulative Revenue ($)",$B6*Dashboard!$B$4*IF(Dashboard!$B$5=Dashboard!$B$6,32,((1-Dashboard!$B$5+Dashboard!$B$6)^32-1)/(Dashboard!$B$6-Dashboard!$B$5)),IF(Dashboard!$B$14="LTV per Customer ($)",IF($B6&gt;0,Dashboard!$B$4*IF(Dashboard!$B$5=Dashboard!$B$6,32,((1-Dashboard!$B$5+Dashboard!$B$6)^32-1)/(Dashboard!$B$6-Dashboard!$B$5)),0),"")))))</f>
        <v>0.10543174757085887</v>
      </c>
      <c r="AI6" s="16">
        <f>IF(Dashboard!$B$14="Retention %",(1-Dashboard!$B$5)^32,IF(Dashboard!$B$14="MRR ($)",$B6*Dashboard!$B$4*(1-Dashboard!$B$5+Dashboard!$B$6)^32,IF(Dashboard!$B$14="Churned Customers",$B6*(1-(1-Dashboard!$B$5)^32),IF(Dashboard!$B$14="Cumulative Revenue ($)",$B6*Dashboard!$B$4*IF(Dashboard!$B$5=Dashboard!$B$6,33,((1-Dashboard!$B$5+Dashboard!$B$6)^33-1)/(Dashboard!$B$6-Dashboard!$B$5)),IF(Dashboard!$B$14="LTV per Customer ($)",IF($B6&gt;0,Dashboard!$B$4*IF(Dashboard!$B$5=Dashboard!$B$6,33,((1-Dashboard!$B$5+Dashboard!$B$6)^33-1)/(Dashboard!$B$6-Dashboard!$B$5)),0),"")))))</f>
        <v>9.8051525240898746E-2</v>
      </c>
      <c r="AJ6" s="16"/>
      <c r="AK6" s="16"/>
      <c r="AL6" s="21"/>
    </row>
    <row r="7" spans="1:38" x14ac:dyDescent="0.35">
      <c r="A7" s="40" t="s">
        <v>89</v>
      </c>
      <c r="B7" s="44">
        <v>1</v>
      </c>
      <c r="C7" s="46">
        <f>IF(Dashboard!$B$14="Retention %",1,IF(Dashboard!$B$14="MRR ($)",$B7*Dashboard!$B$4,IF(Dashboard!$B$14="Churned Customers",0,IF(Dashboard!$B$14="Cumulative Revenue ($)",$B7*Dashboard!$B$4,IF(Dashboard!$B$14="LTV per Customer ($)",IF($B7&gt;0,Dashboard!$B$4,0),"")))))</f>
        <v>1</v>
      </c>
      <c r="D7" s="37">
        <f>IF(Dashboard!$B$14="Retention %",(1-Dashboard!$B$5)^1,IF(Dashboard!$B$14="MRR ($)",$B7*Dashboard!$B$4*(1-Dashboard!$B$5+Dashboard!$B$6)^1,IF(Dashboard!$B$14="Churned Customers",$B7*(1-(1-Dashboard!$B$5)^1),IF(Dashboard!$B$14="Cumulative Revenue ($)",$B7*Dashboard!$B$4*IF(Dashboard!$B$5=Dashboard!$B$6,2,((1-Dashboard!$B$5+Dashboard!$B$6)^2-1)/(Dashboard!$B$6-Dashboard!$B$5)),IF(Dashboard!$B$14="LTV per Customer ($)",IF($B7&gt;0,Dashboard!$B$4*IF(Dashboard!$B$5=Dashboard!$B$6,2,((1-Dashboard!$B$5+Dashboard!$B$6)^2-1)/(Dashboard!$B$6-Dashboard!$B$5)),0),"")))))</f>
        <v>0.92999999999999994</v>
      </c>
      <c r="E7" s="37">
        <f>IF(Dashboard!$B$14="Retention %",(1-Dashboard!$B$5)^2,IF(Dashboard!$B$14="MRR ($)",$B7*Dashboard!$B$4*(1-Dashboard!$B$5+Dashboard!$B$6)^2,IF(Dashboard!$B$14="Churned Customers",$B7*(1-(1-Dashboard!$B$5)^2),IF(Dashboard!$B$14="Cumulative Revenue ($)",$B7*Dashboard!$B$4*IF(Dashboard!$B$5=Dashboard!$B$6,3,((1-Dashboard!$B$5+Dashboard!$B$6)^3-1)/(Dashboard!$B$6-Dashboard!$B$5)),IF(Dashboard!$B$14="LTV per Customer ($)",IF($B7&gt;0,Dashboard!$B$4*IF(Dashboard!$B$5=Dashboard!$B$6,3,((1-Dashboard!$B$5+Dashboard!$B$6)^3-1)/(Dashboard!$B$6-Dashboard!$B$5)),0),"")))))</f>
        <v>0.86489999999999989</v>
      </c>
      <c r="F7" s="37">
        <f>IF(Dashboard!$B$14="Retention %",(1-Dashboard!$B$5)^3,IF(Dashboard!$B$14="MRR ($)",$B7*Dashboard!$B$4*(1-Dashboard!$B$5+Dashboard!$B$6)^3,IF(Dashboard!$B$14="Churned Customers",$B7*(1-(1-Dashboard!$B$5)^3),IF(Dashboard!$B$14="Cumulative Revenue ($)",$B7*Dashboard!$B$4*IF(Dashboard!$B$5=Dashboard!$B$6,4,((1-Dashboard!$B$5+Dashboard!$B$6)^4-1)/(Dashboard!$B$6-Dashboard!$B$5)),IF(Dashboard!$B$14="LTV per Customer ($)",IF($B7&gt;0,Dashboard!$B$4*IF(Dashboard!$B$5=Dashboard!$B$6,4,((1-Dashboard!$B$5+Dashboard!$B$6)^4-1)/(Dashboard!$B$6-Dashboard!$B$5)),0),"")))))</f>
        <v>0.80435699999999988</v>
      </c>
      <c r="G7" s="37">
        <f>IF(Dashboard!$B$14="Retention %",(1-Dashboard!$B$5)^4,IF(Dashboard!$B$14="MRR ($)",$B7*Dashboard!$B$4*(1-Dashboard!$B$5+Dashboard!$B$6)^4,IF(Dashboard!$B$14="Churned Customers",$B7*(1-(1-Dashboard!$B$5)^4),IF(Dashboard!$B$14="Cumulative Revenue ($)",$B7*Dashboard!$B$4*IF(Dashboard!$B$5=Dashboard!$B$6,5,((1-Dashboard!$B$5+Dashboard!$B$6)^5-1)/(Dashboard!$B$6-Dashboard!$B$5)),IF(Dashboard!$B$14="LTV per Customer ($)",IF($B7&gt;0,Dashboard!$B$4*IF(Dashboard!$B$5=Dashboard!$B$6,5,((1-Dashboard!$B$5+Dashboard!$B$6)^5-1)/(Dashboard!$B$6-Dashboard!$B$5)),0),"")))))</f>
        <v>0.74805200999999977</v>
      </c>
      <c r="H7" s="37">
        <f>IF(Dashboard!$B$14="Retention %",(1-Dashboard!$B$5)^5,IF(Dashboard!$B$14="MRR ($)",$B7*Dashboard!$B$4*(1-Dashboard!$B$5+Dashboard!$B$6)^5,IF(Dashboard!$B$14="Churned Customers",$B7*(1-(1-Dashboard!$B$5)^5),IF(Dashboard!$B$14="Cumulative Revenue ($)",$B7*Dashboard!$B$4*IF(Dashboard!$B$5=Dashboard!$B$6,6,((1-Dashboard!$B$5+Dashboard!$B$6)^6-1)/(Dashboard!$B$6-Dashboard!$B$5)),IF(Dashboard!$B$14="LTV per Customer ($)",IF($B7&gt;0,Dashboard!$B$4*IF(Dashboard!$B$5=Dashboard!$B$6,6,((1-Dashboard!$B$5+Dashboard!$B$6)^6-1)/(Dashboard!$B$6-Dashboard!$B$5)),0),"")))))</f>
        <v>0.69568836929999978</v>
      </c>
      <c r="I7" s="37">
        <f>IF(Dashboard!$B$14="Retention %",(1-Dashboard!$B$5)^6,IF(Dashboard!$B$14="MRR ($)",$B7*Dashboard!$B$4*(1-Dashboard!$B$5+Dashboard!$B$6)^6,IF(Dashboard!$B$14="Churned Customers",$B7*(1-(1-Dashboard!$B$5)^6),IF(Dashboard!$B$14="Cumulative Revenue ($)",$B7*Dashboard!$B$4*IF(Dashboard!$B$5=Dashboard!$B$6,7,((1-Dashboard!$B$5+Dashboard!$B$6)^7-1)/(Dashboard!$B$6-Dashboard!$B$5)),IF(Dashboard!$B$14="LTV per Customer ($)",IF($B7&gt;0,Dashboard!$B$4*IF(Dashboard!$B$5=Dashboard!$B$6,7,((1-Dashboard!$B$5+Dashboard!$B$6)^7-1)/(Dashboard!$B$6-Dashboard!$B$5)),0),"")))))</f>
        <v>0.64699018344899972</v>
      </c>
      <c r="J7" s="37">
        <f>IF(Dashboard!$B$14="Retention %",(1-Dashboard!$B$5)^7,IF(Dashboard!$B$14="MRR ($)",$B7*Dashboard!$B$4*(1-Dashboard!$B$5+Dashboard!$B$6)^7,IF(Dashboard!$B$14="Churned Customers",$B7*(1-(1-Dashboard!$B$5)^7),IF(Dashboard!$B$14="Cumulative Revenue ($)",$B7*Dashboard!$B$4*IF(Dashboard!$B$5=Dashboard!$B$6,8,((1-Dashboard!$B$5+Dashboard!$B$6)^8-1)/(Dashboard!$B$6-Dashboard!$B$5)),IF(Dashboard!$B$14="LTV per Customer ($)",IF($B7&gt;0,Dashboard!$B$4*IF(Dashboard!$B$5=Dashboard!$B$6,8,((1-Dashboard!$B$5+Dashboard!$B$6)^8-1)/(Dashboard!$B$6-Dashboard!$B$5)),0),"")))))</f>
        <v>0.60170087060756972</v>
      </c>
      <c r="K7" s="37">
        <f>IF(Dashboard!$B$14="Retention %",(1-Dashboard!$B$5)^8,IF(Dashboard!$B$14="MRR ($)",$B7*Dashboard!$B$4*(1-Dashboard!$B$5+Dashboard!$B$6)^8,IF(Dashboard!$B$14="Churned Customers",$B7*(1-(1-Dashboard!$B$5)^8),IF(Dashboard!$B$14="Cumulative Revenue ($)",$B7*Dashboard!$B$4*IF(Dashboard!$B$5=Dashboard!$B$6,9,((1-Dashboard!$B$5+Dashboard!$B$6)^9-1)/(Dashboard!$B$6-Dashboard!$B$5)),IF(Dashboard!$B$14="LTV per Customer ($)",IF($B7&gt;0,Dashboard!$B$4*IF(Dashboard!$B$5=Dashboard!$B$6,9,((1-Dashboard!$B$5+Dashboard!$B$6)^9-1)/(Dashboard!$B$6-Dashboard!$B$5)),0),"")))))</f>
        <v>0.55958180966503979</v>
      </c>
      <c r="L7" s="37">
        <f>IF(Dashboard!$B$14="Retention %",(1-Dashboard!$B$5)^9,IF(Dashboard!$B$14="MRR ($)",$B7*Dashboard!$B$4*(1-Dashboard!$B$5+Dashboard!$B$6)^9,IF(Dashboard!$B$14="Churned Customers",$B7*(1-(1-Dashboard!$B$5)^9),IF(Dashboard!$B$14="Cumulative Revenue ($)",$B7*Dashboard!$B$4*IF(Dashboard!$B$5=Dashboard!$B$6,10,((1-Dashboard!$B$5+Dashboard!$B$6)^10-1)/(Dashboard!$B$6-Dashboard!$B$5)),IF(Dashboard!$B$14="LTV per Customer ($)",IF($B7&gt;0,Dashboard!$B$4*IF(Dashboard!$B$5=Dashboard!$B$6,10,((1-Dashboard!$B$5+Dashboard!$B$6)^10-1)/(Dashboard!$B$6-Dashboard!$B$5)),0),"")))))</f>
        <v>0.52041108298848693</v>
      </c>
      <c r="M7" s="17">
        <f>IF(Dashboard!$B$14="Retention %",(1-Dashboard!$B$5)^10,IF(Dashboard!$B$14="MRR ($)",$B7*Dashboard!$B$4*(1-Dashboard!$B$5+Dashboard!$B$6)^10,IF(Dashboard!$B$14="Churned Customers",$B7*(1-(1-Dashboard!$B$5)^10),IF(Dashboard!$B$14="Cumulative Revenue ($)",$B7*Dashboard!$B$4*IF(Dashboard!$B$5=Dashboard!$B$6,11,((1-Dashboard!$B$5+Dashboard!$B$6)^11-1)/(Dashboard!$B$6-Dashboard!$B$5)),IF(Dashboard!$B$14="LTV per Customer ($)",IF($B7&gt;0,Dashboard!$B$4*IF(Dashboard!$B$5=Dashboard!$B$6,11,((1-Dashboard!$B$5+Dashboard!$B$6)^11-1)/(Dashboard!$B$6-Dashboard!$B$5)),0),"")))))</f>
        <v>0.48398230717929286</v>
      </c>
      <c r="N7" s="17">
        <f>IF(Dashboard!$B$14="Retention %",(1-Dashboard!$B$5)^11,IF(Dashboard!$B$14="MRR ($)",$B7*Dashboard!$B$4*(1-Dashboard!$B$5+Dashboard!$B$6)^11,IF(Dashboard!$B$14="Churned Customers",$B7*(1-(1-Dashboard!$B$5)^11),IF(Dashboard!$B$14="Cumulative Revenue ($)",$B7*Dashboard!$B$4*IF(Dashboard!$B$5=Dashboard!$B$6,12,((1-Dashboard!$B$5+Dashboard!$B$6)^12-1)/(Dashboard!$B$6-Dashboard!$B$5)),IF(Dashboard!$B$14="LTV per Customer ($)",IF($B7&gt;0,Dashboard!$B$4*IF(Dashboard!$B$5=Dashboard!$B$6,12,((1-Dashboard!$B$5+Dashboard!$B$6)^12-1)/(Dashboard!$B$6-Dashboard!$B$5)),0),"")))))</f>
        <v>0.45010354567674232</v>
      </c>
      <c r="O7" s="17">
        <f>IF(Dashboard!$B$14="Retention %",(1-Dashboard!$B$5)^12,IF(Dashboard!$B$14="MRR ($)",$B7*Dashboard!$B$4*(1-Dashboard!$B$5+Dashboard!$B$6)^12,IF(Dashboard!$B$14="Churned Customers",$B7*(1-(1-Dashboard!$B$5)^12),IF(Dashboard!$B$14="Cumulative Revenue ($)",$B7*Dashboard!$B$4*IF(Dashboard!$B$5=Dashboard!$B$6,13,((1-Dashboard!$B$5+Dashboard!$B$6)^13-1)/(Dashboard!$B$6-Dashboard!$B$5)),IF(Dashboard!$B$14="LTV per Customer ($)",IF($B7&gt;0,Dashboard!$B$4*IF(Dashboard!$B$5=Dashboard!$B$6,13,((1-Dashboard!$B$5+Dashboard!$B$6)^13-1)/(Dashboard!$B$6-Dashboard!$B$5)),0),"")))))</f>
        <v>0.41859629747937033</v>
      </c>
      <c r="P7" s="17">
        <f>IF(Dashboard!$B$14="Retention %",(1-Dashboard!$B$5)^13,IF(Dashboard!$B$14="MRR ($)",$B7*Dashboard!$B$4*(1-Dashboard!$B$5+Dashboard!$B$6)^13,IF(Dashboard!$B$14="Churned Customers",$B7*(1-(1-Dashboard!$B$5)^13),IF(Dashboard!$B$14="Cumulative Revenue ($)",$B7*Dashboard!$B$4*IF(Dashboard!$B$5=Dashboard!$B$6,14,((1-Dashboard!$B$5+Dashboard!$B$6)^14-1)/(Dashboard!$B$6-Dashboard!$B$5)),IF(Dashboard!$B$14="LTV per Customer ($)",IF($B7&gt;0,Dashboard!$B$4*IF(Dashboard!$B$5=Dashboard!$B$6,14,((1-Dashboard!$B$5+Dashboard!$B$6)^14-1)/(Dashboard!$B$6-Dashboard!$B$5)),0),"")))))</f>
        <v>0.38929455665581436</v>
      </c>
      <c r="Q7" s="17">
        <f>IF(Dashboard!$B$14="Retention %",(1-Dashboard!$B$5)^14,IF(Dashboard!$B$14="MRR ($)",$B7*Dashboard!$B$4*(1-Dashboard!$B$5+Dashboard!$B$6)^14,IF(Dashboard!$B$14="Churned Customers",$B7*(1-(1-Dashboard!$B$5)^14),IF(Dashboard!$B$14="Cumulative Revenue ($)",$B7*Dashboard!$B$4*IF(Dashboard!$B$5=Dashboard!$B$6,15,((1-Dashboard!$B$5+Dashboard!$B$6)^15-1)/(Dashboard!$B$6-Dashboard!$B$5)),IF(Dashboard!$B$14="LTV per Customer ($)",IF($B7&gt;0,Dashboard!$B$4*IF(Dashboard!$B$5=Dashboard!$B$6,15,((1-Dashboard!$B$5+Dashboard!$B$6)^15-1)/(Dashboard!$B$6-Dashboard!$B$5)),0),"")))))</f>
        <v>0.36204393768990734</v>
      </c>
      <c r="R7" s="17">
        <f>IF(Dashboard!$B$14="Retention %",(1-Dashboard!$B$5)^15,IF(Dashboard!$B$14="MRR ($)",$B7*Dashboard!$B$4*(1-Dashboard!$B$5+Dashboard!$B$6)^15,IF(Dashboard!$B$14="Churned Customers",$B7*(1-(1-Dashboard!$B$5)^15),IF(Dashboard!$B$14="Cumulative Revenue ($)",$B7*Dashboard!$B$4*IF(Dashboard!$B$5=Dashboard!$B$6,16,((1-Dashboard!$B$5+Dashboard!$B$6)^16-1)/(Dashboard!$B$6-Dashboard!$B$5)),IF(Dashboard!$B$14="LTV per Customer ($)",IF($B7&gt;0,Dashboard!$B$4*IF(Dashboard!$B$5=Dashboard!$B$6,16,((1-Dashboard!$B$5+Dashboard!$B$6)^16-1)/(Dashboard!$B$6-Dashboard!$B$5)),0),"")))))</f>
        <v>0.33670086205161381</v>
      </c>
      <c r="S7" s="17">
        <f>IF(Dashboard!$B$14="Retention %",(1-Dashboard!$B$5)^16,IF(Dashboard!$B$14="MRR ($)",$B7*Dashboard!$B$4*(1-Dashboard!$B$5+Dashboard!$B$6)^16,IF(Dashboard!$B$14="Churned Customers",$B7*(1-(1-Dashboard!$B$5)^16),IF(Dashboard!$B$14="Cumulative Revenue ($)",$B7*Dashboard!$B$4*IF(Dashboard!$B$5=Dashboard!$B$6,17,((1-Dashboard!$B$5+Dashboard!$B$6)^17-1)/(Dashboard!$B$6-Dashboard!$B$5)),IF(Dashboard!$B$14="LTV per Customer ($)",IF($B7&gt;0,Dashboard!$B$4*IF(Dashboard!$B$5=Dashboard!$B$6,17,((1-Dashboard!$B$5+Dashboard!$B$6)^17-1)/(Dashboard!$B$6-Dashboard!$B$5)),0),"")))))</f>
        <v>0.31313180170800081</v>
      </c>
      <c r="T7" s="17">
        <f>IF(Dashboard!$B$14="Retention %",(1-Dashboard!$B$5)^17,IF(Dashboard!$B$14="MRR ($)",$B7*Dashboard!$B$4*(1-Dashboard!$B$5+Dashboard!$B$6)^17,IF(Dashboard!$B$14="Churned Customers",$B7*(1-(1-Dashboard!$B$5)^17),IF(Dashboard!$B$14="Cumulative Revenue ($)",$B7*Dashboard!$B$4*IF(Dashboard!$B$5=Dashboard!$B$6,18,((1-Dashboard!$B$5+Dashboard!$B$6)^18-1)/(Dashboard!$B$6-Dashboard!$B$5)),IF(Dashboard!$B$14="LTV per Customer ($)",IF($B7&gt;0,Dashboard!$B$4*IF(Dashboard!$B$5=Dashboard!$B$6,18,((1-Dashboard!$B$5+Dashboard!$B$6)^18-1)/(Dashboard!$B$6-Dashboard!$B$5)),0),"")))))</f>
        <v>0.29121257558844071</v>
      </c>
      <c r="U7" s="17">
        <f>IF(Dashboard!$B$14="Retention %",(1-Dashboard!$B$5)^18,IF(Dashboard!$B$14="MRR ($)",$B7*Dashboard!$B$4*(1-Dashboard!$B$5+Dashboard!$B$6)^18,IF(Dashboard!$B$14="Churned Customers",$B7*(1-(1-Dashboard!$B$5)^18),IF(Dashboard!$B$14="Cumulative Revenue ($)",$B7*Dashboard!$B$4*IF(Dashboard!$B$5=Dashboard!$B$6,19,((1-Dashboard!$B$5+Dashboard!$B$6)^19-1)/(Dashboard!$B$6-Dashboard!$B$5)),IF(Dashboard!$B$14="LTV per Customer ($)",IF($B7&gt;0,Dashboard!$B$4*IF(Dashboard!$B$5=Dashboard!$B$6,19,((1-Dashboard!$B$5+Dashboard!$B$6)^19-1)/(Dashboard!$B$6-Dashboard!$B$5)),0),"")))))</f>
        <v>0.27082769529724987</v>
      </c>
      <c r="V7" s="17">
        <f>IF(Dashboard!$B$14="Retention %",(1-Dashboard!$B$5)^19,IF(Dashboard!$B$14="MRR ($)",$B7*Dashboard!$B$4*(1-Dashboard!$B$5+Dashboard!$B$6)^19,IF(Dashboard!$B$14="Churned Customers",$B7*(1-(1-Dashboard!$B$5)^19),IF(Dashboard!$B$14="Cumulative Revenue ($)",$B7*Dashboard!$B$4*IF(Dashboard!$B$5=Dashboard!$B$6,20,((1-Dashboard!$B$5+Dashboard!$B$6)^20-1)/(Dashboard!$B$6-Dashboard!$B$5)),IF(Dashboard!$B$14="LTV per Customer ($)",IF($B7&gt;0,Dashboard!$B$4*IF(Dashboard!$B$5=Dashboard!$B$6,20,((1-Dashboard!$B$5+Dashboard!$B$6)^20-1)/(Dashboard!$B$6-Dashboard!$B$5)),0),"")))))</f>
        <v>0.2518697566264424</v>
      </c>
      <c r="W7" s="17">
        <f>IF(Dashboard!$B$14="Retention %",(1-Dashboard!$B$5)^20,IF(Dashboard!$B$14="MRR ($)",$B7*Dashboard!$B$4*(1-Dashboard!$B$5+Dashboard!$B$6)^20,IF(Dashboard!$B$14="Churned Customers",$B7*(1-(1-Dashboard!$B$5)^20),IF(Dashboard!$B$14="Cumulative Revenue ($)",$B7*Dashboard!$B$4*IF(Dashboard!$B$5=Dashboard!$B$6,21,((1-Dashboard!$B$5+Dashboard!$B$6)^21-1)/(Dashboard!$B$6-Dashboard!$B$5)),IF(Dashboard!$B$14="LTV per Customer ($)",IF($B7&gt;0,Dashboard!$B$4*IF(Dashboard!$B$5=Dashboard!$B$6,21,((1-Dashboard!$B$5+Dashboard!$B$6)^21-1)/(Dashboard!$B$6-Dashboard!$B$5)),0),"")))))</f>
        <v>0.23423887366259136</v>
      </c>
      <c r="X7" s="17">
        <f>IF(Dashboard!$B$14="Retention %",(1-Dashboard!$B$5)^21,IF(Dashboard!$B$14="MRR ($)",$B7*Dashboard!$B$4*(1-Dashboard!$B$5+Dashboard!$B$6)^21,IF(Dashboard!$B$14="Churned Customers",$B7*(1-(1-Dashboard!$B$5)^21),IF(Dashboard!$B$14="Cumulative Revenue ($)",$B7*Dashboard!$B$4*IF(Dashboard!$B$5=Dashboard!$B$6,22,((1-Dashboard!$B$5+Dashboard!$B$6)^22-1)/(Dashboard!$B$6-Dashboard!$B$5)),IF(Dashboard!$B$14="LTV per Customer ($)",IF($B7&gt;0,Dashboard!$B$4*IF(Dashboard!$B$5=Dashboard!$B$6,22,((1-Dashboard!$B$5+Dashboard!$B$6)^22-1)/(Dashboard!$B$6-Dashboard!$B$5)),0),"")))))</f>
        <v>0.21784215250620997</v>
      </c>
      <c r="Y7" s="17">
        <f>IF(Dashboard!$B$14="Retention %",(1-Dashboard!$B$5)^22,IF(Dashboard!$B$14="MRR ($)",$B7*Dashboard!$B$4*(1-Dashboard!$B$5+Dashboard!$B$6)^22,IF(Dashboard!$B$14="Churned Customers",$B7*(1-(1-Dashboard!$B$5)^22),IF(Dashboard!$B$14="Cumulative Revenue ($)",$B7*Dashboard!$B$4*IF(Dashboard!$B$5=Dashboard!$B$6,23,((1-Dashboard!$B$5+Dashboard!$B$6)^23-1)/(Dashboard!$B$6-Dashboard!$B$5)),IF(Dashboard!$B$14="LTV per Customer ($)",IF($B7&gt;0,Dashboard!$B$4*IF(Dashboard!$B$5=Dashboard!$B$6,23,((1-Dashboard!$B$5+Dashboard!$B$6)^23-1)/(Dashboard!$B$6-Dashboard!$B$5)),0),"")))))</f>
        <v>0.20259320183077525</v>
      </c>
      <c r="Z7" s="17">
        <f>IF(Dashboard!$B$14="Retention %",(1-Dashboard!$B$5)^23,IF(Dashboard!$B$14="MRR ($)",$B7*Dashboard!$B$4*(1-Dashboard!$B$5+Dashboard!$B$6)^23,IF(Dashboard!$B$14="Churned Customers",$B7*(1-(1-Dashboard!$B$5)^23),IF(Dashboard!$B$14="Cumulative Revenue ($)",$B7*Dashboard!$B$4*IF(Dashboard!$B$5=Dashboard!$B$6,24,((1-Dashboard!$B$5+Dashboard!$B$6)^24-1)/(Dashboard!$B$6-Dashboard!$B$5)),IF(Dashboard!$B$14="LTV per Customer ($)",IF($B7&gt;0,Dashboard!$B$4*IF(Dashboard!$B$5=Dashboard!$B$6,24,((1-Dashboard!$B$5+Dashboard!$B$6)^24-1)/(Dashboard!$B$6-Dashboard!$B$5)),0),"")))))</f>
        <v>0.18841167770262096</v>
      </c>
      <c r="AA7" s="17">
        <f>IF(Dashboard!$B$14="Retention %",(1-Dashboard!$B$5)^24,IF(Dashboard!$B$14="MRR ($)",$B7*Dashboard!$B$4*(1-Dashboard!$B$5+Dashboard!$B$6)^24,IF(Dashboard!$B$14="Churned Customers",$B7*(1-(1-Dashboard!$B$5)^24),IF(Dashboard!$B$14="Cumulative Revenue ($)",$B7*Dashboard!$B$4*IF(Dashboard!$B$5=Dashboard!$B$6,25,((1-Dashboard!$B$5+Dashboard!$B$6)^25-1)/(Dashboard!$B$6-Dashboard!$B$5)),IF(Dashboard!$B$14="LTV per Customer ($)",IF($B7&gt;0,Dashboard!$B$4*IF(Dashboard!$B$5=Dashboard!$B$6,25,((1-Dashboard!$B$5+Dashboard!$B$6)^25-1)/(Dashboard!$B$6-Dashboard!$B$5)),0),"")))))</f>
        <v>0.1752228602634375</v>
      </c>
      <c r="AB7" s="17">
        <f>IF(Dashboard!$B$14="Retention %",(1-Dashboard!$B$5)^25,IF(Dashboard!$B$14="MRR ($)",$B7*Dashboard!$B$4*(1-Dashboard!$B$5+Dashboard!$B$6)^25,IF(Dashboard!$B$14="Churned Customers",$B7*(1-(1-Dashboard!$B$5)^25),IF(Dashboard!$B$14="Cumulative Revenue ($)",$B7*Dashboard!$B$4*IF(Dashboard!$B$5=Dashboard!$B$6,26,((1-Dashboard!$B$5+Dashboard!$B$6)^26-1)/(Dashboard!$B$6-Dashboard!$B$5)),IF(Dashboard!$B$14="LTV per Customer ($)",IF($B7&gt;0,Dashboard!$B$4*IF(Dashboard!$B$5=Dashboard!$B$6,26,((1-Dashboard!$B$5+Dashboard!$B$6)^26-1)/(Dashboard!$B$6-Dashboard!$B$5)),0),"")))))</f>
        <v>0.16295726004499683</v>
      </c>
      <c r="AC7" s="17">
        <f>IF(Dashboard!$B$14="Retention %",(1-Dashboard!$B$5)^26,IF(Dashboard!$B$14="MRR ($)",$B7*Dashboard!$B$4*(1-Dashboard!$B$5+Dashboard!$B$6)^26,IF(Dashboard!$B$14="Churned Customers",$B7*(1-(1-Dashboard!$B$5)^26),IF(Dashboard!$B$14="Cumulative Revenue ($)",$B7*Dashboard!$B$4*IF(Dashboard!$B$5=Dashboard!$B$6,27,((1-Dashboard!$B$5+Dashboard!$B$6)^27-1)/(Dashboard!$B$6-Dashboard!$B$5)),IF(Dashboard!$B$14="LTV per Customer ($)",IF($B7&gt;0,Dashboard!$B$4*IF(Dashboard!$B$5=Dashboard!$B$6,27,((1-Dashboard!$B$5+Dashboard!$B$6)^27-1)/(Dashboard!$B$6-Dashboard!$B$5)),0),"")))))</f>
        <v>0.15155025184184706</v>
      </c>
      <c r="AD7" s="17">
        <f>IF(Dashboard!$B$14="Retention %",(1-Dashboard!$B$5)^27,IF(Dashboard!$B$14="MRR ($)",$B7*Dashboard!$B$4*(1-Dashboard!$B$5+Dashboard!$B$6)^27,IF(Dashboard!$B$14="Churned Customers",$B7*(1-(1-Dashboard!$B$5)^27),IF(Dashboard!$B$14="Cumulative Revenue ($)",$B7*Dashboard!$B$4*IF(Dashboard!$B$5=Dashboard!$B$6,28,((1-Dashboard!$B$5+Dashboard!$B$6)^28-1)/(Dashboard!$B$6-Dashboard!$B$5)),IF(Dashboard!$B$14="LTV per Customer ($)",IF($B7&gt;0,Dashboard!$B$4*IF(Dashboard!$B$5=Dashboard!$B$6,28,((1-Dashboard!$B$5+Dashboard!$B$6)^28-1)/(Dashboard!$B$6-Dashboard!$B$5)),0),"")))))</f>
        <v>0.14094173421291775</v>
      </c>
      <c r="AE7" s="17">
        <f>IF(Dashboard!$B$14="Retention %",(1-Dashboard!$B$5)^28,IF(Dashboard!$B$14="MRR ($)",$B7*Dashboard!$B$4*(1-Dashboard!$B$5+Dashboard!$B$6)^28,IF(Dashboard!$B$14="Churned Customers",$B7*(1-(1-Dashboard!$B$5)^28),IF(Dashboard!$B$14="Cumulative Revenue ($)",$B7*Dashboard!$B$4*IF(Dashboard!$B$5=Dashboard!$B$6,29,((1-Dashboard!$B$5+Dashboard!$B$6)^29-1)/(Dashboard!$B$6-Dashboard!$B$5)),IF(Dashboard!$B$14="LTV per Customer ($)",IF($B7&gt;0,Dashboard!$B$4*IF(Dashboard!$B$5=Dashboard!$B$6,29,((1-Dashboard!$B$5+Dashboard!$B$6)^29-1)/(Dashboard!$B$6-Dashboard!$B$5)),0),"")))))</f>
        <v>0.1310758128180135</v>
      </c>
      <c r="AF7" s="17">
        <f>IF(Dashboard!$B$14="Retention %",(1-Dashboard!$B$5)^29,IF(Dashboard!$B$14="MRR ($)",$B7*Dashboard!$B$4*(1-Dashboard!$B$5+Dashboard!$B$6)^29,IF(Dashboard!$B$14="Churned Customers",$B7*(1-(1-Dashboard!$B$5)^29),IF(Dashboard!$B$14="Cumulative Revenue ($)",$B7*Dashboard!$B$4*IF(Dashboard!$B$5=Dashboard!$B$6,30,((1-Dashboard!$B$5+Dashboard!$B$6)^30-1)/(Dashboard!$B$6-Dashboard!$B$5)),IF(Dashboard!$B$14="LTV per Customer ($)",IF($B7&gt;0,Dashboard!$B$4*IF(Dashboard!$B$5=Dashboard!$B$6,30,((1-Dashboard!$B$5+Dashboard!$B$6)^30-1)/(Dashboard!$B$6-Dashboard!$B$5)),0),"")))))</f>
        <v>0.12190050592075255</v>
      </c>
      <c r="AG7" s="17">
        <f>IF(Dashboard!$B$14="Retention %",(1-Dashboard!$B$5)^30,IF(Dashboard!$B$14="MRR ($)",$B7*Dashboard!$B$4*(1-Dashboard!$B$5+Dashboard!$B$6)^30,IF(Dashboard!$B$14="Churned Customers",$B7*(1-(1-Dashboard!$B$5)^30),IF(Dashboard!$B$14="Cumulative Revenue ($)",$B7*Dashboard!$B$4*IF(Dashboard!$B$5=Dashboard!$B$6,31,((1-Dashboard!$B$5+Dashboard!$B$6)^31-1)/(Dashboard!$B$6-Dashboard!$B$5)),IF(Dashboard!$B$14="LTV per Customer ($)",IF($B7&gt;0,Dashboard!$B$4*IF(Dashboard!$B$5=Dashboard!$B$6,31,((1-Dashboard!$B$5+Dashboard!$B$6)^31-1)/(Dashboard!$B$6-Dashboard!$B$5)),0),"")))))</f>
        <v>0.11336747050629986</v>
      </c>
      <c r="AH7" s="17">
        <f>IF(Dashboard!$B$14="Retention %",(1-Dashboard!$B$5)^31,IF(Dashboard!$B$14="MRR ($)",$B7*Dashboard!$B$4*(1-Dashboard!$B$5+Dashboard!$B$6)^31,IF(Dashboard!$B$14="Churned Customers",$B7*(1-(1-Dashboard!$B$5)^31),IF(Dashboard!$B$14="Cumulative Revenue ($)",$B7*Dashboard!$B$4*IF(Dashboard!$B$5=Dashboard!$B$6,32,((1-Dashboard!$B$5+Dashboard!$B$6)^32-1)/(Dashboard!$B$6-Dashboard!$B$5)),IF(Dashboard!$B$14="LTV per Customer ($)",IF($B7&gt;0,Dashboard!$B$4*IF(Dashboard!$B$5=Dashboard!$B$6,32,((1-Dashboard!$B$5+Dashboard!$B$6)^32-1)/(Dashboard!$B$6-Dashboard!$B$5)),0),"")))))</f>
        <v>0.10543174757085887</v>
      </c>
      <c r="AI7" s="17"/>
      <c r="AJ7" s="17"/>
      <c r="AK7" s="17"/>
      <c r="AL7" s="22"/>
    </row>
    <row r="8" spans="1:38" x14ac:dyDescent="0.35">
      <c r="A8" s="40" t="s">
        <v>90</v>
      </c>
      <c r="B8" s="44">
        <v>1</v>
      </c>
      <c r="C8" s="46">
        <f>IF(Dashboard!$B$14="Retention %",1,IF(Dashboard!$B$14="MRR ($)",$B8*Dashboard!$B$4,IF(Dashboard!$B$14="Churned Customers",0,IF(Dashboard!$B$14="Cumulative Revenue ($)",$B8*Dashboard!$B$4,IF(Dashboard!$B$14="LTV per Customer ($)",IF($B8&gt;0,Dashboard!$B$4,0),"")))))</f>
        <v>1</v>
      </c>
      <c r="D8" s="36">
        <f>IF(Dashboard!$B$14="Retention %",(1-Dashboard!$B$5)^1,IF(Dashboard!$B$14="MRR ($)",$B8*Dashboard!$B$4*(1-Dashboard!$B$5+Dashboard!$B$6)^1,IF(Dashboard!$B$14="Churned Customers",$B8*(1-(1-Dashboard!$B$5)^1),IF(Dashboard!$B$14="Cumulative Revenue ($)",$B8*Dashboard!$B$4*IF(Dashboard!$B$5=Dashboard!$B$6,2,((1-Dashboard!$B$5+Dashboard!$B$6)^2-1)/(Dashboard!$B$6-Dashboard!$B$5)),IF(Dashboard!$B$14="LTV per Customer ($)",IF($B8&gt;0,Dashboard!$B$4*IF(Dashboard!$B$5=Dashboard!$B$6,2,((1-Dashboard!$B$5+Dashboard!$B$6)^2-1)/(Dashboard!$B$6-Dashboard!$B$5)),0),"")))))</f>
        <v>0.92999999999999994</v>
      </c>
      <c r="E8" s="36">
        <f>IF(Dashboard!$B$14="Retention %",(1-Dashboard!$B$5)^2,IF(Dashboard!$B$14="MRR ($)",$B8*Dashboard!$B$4*(1-Dashboard!$B$5+Dashboard!$B$6)^2,IF(Dashboard!$B$14="Churned Customers",$B8*(1-(1-Dashboard!$B$5)^2),IF(Dashboard!$B$14="Cumulative Revenue ($)",$B8*Dashboard!$B$4*IF(Dashboard!$B$5=Dashboard!$B$6,3,((1-Dashboard!$B$5+Dashboard!$B$6)^3-1)/(Dashboard!$B$6-Dashboard!$B$5)),IF(Dashboard!$B$14="LTV per Customer ($)",IF($B8&gt;0,Dashboard!$B$4*IF(Dashboard!$B$5=Dashboard!$B$6,3,((1-Dashboard!$B$5+Dashboard!$B$6)^3-1)/(Dashboard!$B$6-Dashboard!$B$5)),0),"")))))</f>
        <v>0.86489999999999989</v>
      </c>
      <c r="F8" s="36">
        <f>IF(Dashboard!$B$14="Retention %",(1-Dashboard!$B$5)^3,IF(Dashboard!$B$14="MRR ($)",$B8*Dashboard!$B$4*(1-Dashboard!$B$5+Dashboard!$B$6)^3,IF(Dashboard!$B$14="Churned Customers",$B8*(1-(1-Dashboard!$B$5)^3),IF(Dashboard!$B$14="Cumulative Revenue ($)",$B8*Dashboard!$B$4*IF(Dashboard!$B$5=Dashboard!$B$6,4,((1-Dashboard!$B$5+Dashboard!$B$6)^4-1)/(Dashboard!$B$6-Dashboard!$B$5)),IF(Dashboard!$B$14="LTV per Customer ($)",IF($B8&gt;0,Dashboard!$B$4*IF(Dashboard!$B$5=Dashboard!$B$6,4,((1-Dashboard!$B$5+Dashboard!$B$6)^4-1)/(Dashboard!$B$6-Dashboard!$B$5)),0),"")))))</f>
        <v>0.80435699999999988</v>
      </c>
      <c r="G8" s="36">
        <f>IF(Dashboard!$B$14="Retention %",(1-Dashboard!$B$5)^4,IF(Dashboard!$B$14="MRR ($)",$B8*Dashboard!$B$4*(1-Dashboard!$B$5+Dashboard!$B$6)^4,IF(Dashboard!$B$14="Churned Customers",$B8*(1-(1-Dashboard!$B$5)^4),IF(Dashboard!$B$14="Cumulative Revenue ($)",$B8*Dashboard!$B$4*IF(Dashboard!$B$5=Dashboard!$B$6,5,((1-Dashboard!$B$5+Dashboard!$B$6)^5-1)/(Dashboard!$B$6-Dashboard!$B$5)),IF(Dashboard!$B$14="LTV per Customer ($)",IF($B8&gt;0,Dashboard!$B$4*IF(Dashboard!$B$5=Dashboard!$B$6,5,((1-Dashboard!$B$5+Dashboard!$B$6)^5-1)/(Dashboard!$B$6-Dashboard!$B$5)),0),"")))))</f>
        <v>0.74805200999999977</v>
      </c>
      <c r="H8" s="36">
        <f>IF(Dashboard!$B$14="Retention %",(1-Dashboard!$B$5)^5,IF(Dashboard!$B$14="MRR ($)",$B8*Dashboard!$B$4*(1-Dashboard!$B$5+Dashboard!$B$6)^5,IF(Dashboard!$B$14="Churned Customers",$B8*(1-(1-Dashboard!$B$5)^5),IF(Dashboard!$B$14="Cumulative Revenue ($)",$B8*Dashboard!$B$4*IF(Dashboard!$B$5=Dashboard!$B$6,6,((1-Dashboard!$B$5+Dashboard!$B$6)^6-1)/(Dashboard!$B$6-Dashboard!$B$5)),IF(Dashboard!$B$14="LTV per Customer ($)",IF($B8&gt;0,Dashboard!$B$4*IF(Dashboard!$B$5=Dashboard!$B$6,6,((1-Dashboard!$B$5+Dashboard!$B$6)^6-1)/(Dashboard!$B$6-Dashboard!$B$5)),0),"")))))</f>
        <v>0.69568836929999978</v>
      </c>
      <c r="I8" s="36">
        <f>IF(Dashboard!$B$14="Retention %",(1-Dashboard!$B$5)^6,IF(Dashboard!$B$14="MRR ($)",$B8*Dashboard!$B$4*(1-Dashboard!$B$5+Dashboard!$B$6)^6,IF(Dashboard!$B$14="Churned Customers",$B8*(1-(1-Dashboard!$B$5)^6),IF(Dashboard!$B$14="Cumulative Revenue ($)",$B8*Dashboard!$B$4*IF(Dashboard!$B$5=Dashboard!$B$6,7,((1-Dashboard!$B$5+Dashboard!$B$6)^7-1)/(Dashboard!$B$6-Dashboard!$B$5)),IF(Dashboard!$B$14="LTV per Customer ($)",IF($B8&gt;0,Dashboard!$B$4*IF(Dashboard!$B$5=Dashboard!$B$6,7,((1-Dashboard!$B$5+Dashboard!$B$6)^7-1)/(Dashboard!$B$6-Dashboard!$B$5)),0),"")))))</f>
        <v>0.64699018344899972</v>
      </c>
      <c r="J8" s="36">
        <f>IF(Dashboard!$B$14="Retention %",(1-Dashboard!$B$5)^7,IF(Dashboard!$B$14="MRR ($)",$B8*Dashboard!$B$4*(1-Dashboard!$B$5+Dashboard!$B$6)^7,IF(Dashboard!$B$14="Churned Customers",$B8*(1-(1-Dashboard!$B$5)^7),IF(Dashboard!$B$14="Cumulative Revenue ($)",$B8*Dashboard!$B$4*IF(Dashboard!$B$5=Dashboard!$B$6,8,((1-Dashboard!$B$5+Dashboard!$B$6)^8-1)/(Dashboard!$B$6-Dashboard!$B$5)),IF(Dashboard!$B$14="LTV per Customer ($)",IF($B8&gt;0,Dashboard!$B$4*IF(Dashboard!$B$5=Dashboard!$B$6,8,((1-Dashboard!$B$5+Dashboard!$B$6)^8-1)/(Dashboard!$B$6-Dashboard!$B$5)),0),"")))))</f>
        <v>0.60170087060756972</v>
      </c>
      <c r="K8" s="36">
        <f>IF(Dashboard!$B$14="Retention %",(1-Dashboard!$B$5)^8,IF(Dashboard!$B$14="MRR ($)",$B8*Dashboard!$B$4*(1-Dashboard!$B$5+Dashboard!$B$6)^8,IF(Dashboard!$B$14="Churned Customers",$B8*(1-(1-Dashboard!$B$5)^8),IF(Dashboard!$B$14="Cumulative Revenue ($)",$B8*Dashboard!$B$4*IF(Dashboard!$B$5=Dashboard!$B$6,9,((1-Dashboard!$B$5+Dashboard!$B$6)^9-1)/(Dashboard!$B$6-Dashboard!$B$5)),IF(Dashboard!$B$14="LTV per Customer ($)",IF($B8&gt;0,Dashboard!$B$4*IF(Dashboard!$B$5=Dashboard!$B$6,9,((1-Dashboard!$B$5+Dashboard!$B$6)^9-1)/(Dashboard!$B$6-Dashboard!$B$5)),0),"")))))</f>
        <v>0.55958180966503979</v>
      </c>
      <c r="L8" s="36">
        <f>IF(Dashboard!$B$14="Retention %",(1-Dashboard!$B$5)^9,IF(Dashboard!$B$14="MRR ($)",$B8*Dashboard!$B$4*(1-Dashboard!$B$5+Dashboard!$B$6)^9,IF(Dashboard!$B$14="Churned Customers",$B8*(1-(1-Dashboard!$B$5)^9),IF(Dashboard!$B$14="Cumulative Revenue ($)",$B8*Dashboard!$B$4*IF(Dashboard!$B$5=Dashboard!$B$6,10,((1-Dashboard!$B$5+Dashboard!$B$6)^10-1)/(Dashboard!$B$6-Dashboard!$B$5)),IF(Dashboard!$B$14="LTV per Customer ($)",IF($B8&gt;0,Dashboard!$B$4*IF(Dashboard!$B$5=Dashboard!$B$6,10,((1-Dashboard!$B$5+Dashboard!$B$6)^10-1)/(Dashboard!$B$6-Dashboard!$B$5)),0),"")))))</f>
        <v>0.52041108298848693</v>
      </c>
      <c r="M8" s="16">
        <f>IF(Dashboard!$B$14="Retention %",(1-Dashboard!$B$5)^10,IF(Dashboard!$B$14="MRR ($)",$B8*Dashboard!$B$4*(1-Dashboard!$B$5+Dashboard!$B$6)^10,IF(Dashboard!$B$14="Churned Customers",$B8*(1-(1-Dashboard!$B$5)^10),IF(Dashboard!$B$14="Cumulative Revenue ($)",$B8*Dashboard!$B$4*IF(Dashboard!$B$5=Dashboard!$B$6,11,((1-Dashboard!$B$5+Dashboard!$B$6)^11-1)/(Dashboard!$B$6-Dashboard!$B$5)),IF(Dashboard!$B$14="LTV per Customer ($)",IF($B8&gt;0,Dashboard!$B$4*IF(Dashboard!$B$5=Dashboard!$B$6,11,((1-Dashboard!$B$5+Dashboard!$B$6)^11-1)/(Dashboard!$B$6-Dashboard!$B$5)),0),"")))))</f>
        <v>0.48398230717929286</v>
      </c>
      <c r="N8" s="16">
        <f>IF(Dashboard!$B$14="Retention %",(1-Dashboard!$B$5)^11,IF(Dashboard!$B$14="MRR ($)",$B8*Dashboard!$B$4*(1-Dashboard!$B$5+Dashboard!$B$6)^11,IF(Dashboard!$B$14="Churned Customers",$B8*(1-(1-Dashboard!$B$5)^11),IF(Dashboard!$B$14="Cumulative Revenue ($)",$B8*Dashboard!$B$4*IF(Dashboard!$B$5=Dashboard!$B$6,12,((1-Dashboard!$B$5+Dashboard!$B$6)^12-1)/(Dashboard!$B$6-Dashboard!$B$5)),IF(Dashboard!$B$14="LTV per Customer ($)",IF($B8&gt;0,Dashboard!$B$4*IF(Dashboard!$B$5=Dashboard!$B$6,12,((1-Dashboard!$B$5+Dashboard!$B$6)^12-1)/(Dashboard!$B$6-Dashboard!$B$5)),0),"")))))</f>
        <v>0.45010354567674232</v>
      </c>
      <c r="O8" s="16">
        <f>IF(Dashboard!$B$14="Retention %",(1-Dashboard!$B$5)^12,IF(Dashboard!$B$14="MRR ($)",$B8*Dashboard!$B$4*(1-Dashboard!$B$5+Dashboard!$B$6)^12,IF(Dashboard!$B$14="Churned Customers",$B8*(1-(1-Dashboard!$B$5)^12),IF(Dashboard!$B$14="Cumulative Revenue ($)",$B8*Dashboard!$B$4*IF(Dashboard!$B$5=Dashboard!$B$6,13,((1-Dashboard!$B$5+Dashboard!$B$6)^13-1)/(Dashboard!$B$6-Dashboard!$B$5)),IF(Dashboard!$B$14="LTV per Customer ($)",IF($B8&gt;0,Dashboard!$B$4*IF(Dashboard!$B$5=Dashboard!$B$6,13,((1-Dashboard!$B$5+Dashboard!$B$6)^13-1)/(Dashboard!$B$6-Dashboard!$B$5)),0),"")))))</f>
        <v>0.41859629747937033</v>
      </c>
      <c r="P8" s="16">
        <f>IF(Dashboard!$B$14="Retention %",(1-Dashboard!$B$5)^13,IF(Dashboard!$B$14="MRR ($)",$B8*Dashboard!$B$4*(1-Dashboard!$B$5+Dashboard!$B$6)^13,IF(Dashboard!$B$14="Churned Customers",$B8*(1-(1-Dashboard!$B$5)^13),IF(Dashboard!$B$14="Cumulative Revenue ($)",$B8*Dashboard!$B$4*IF(Dashboard!$B$5=Dashboard!$B$6,14,((1-Dashboard!$B$5+Dashboard!$B$6)^14-1)/(Dashboard!$B$6-Dashboard!$B$5)),IF(Dashboard!$B$14="LTV per Customer ($)",IF($B8&gt;0,Dashboard!$B$4*IF(Dashboard!$B$5=Dashboard!$B$6,14,((1-Dashboard!$B$5+Dashboard!$B$6)^14-1)/(Dashboard!$B$6-Dashboard!$B$5)),0),"")))))</f>
        <v>0.38929455665581436</v>
      </c>
      <c r="Q8" s="16">
        <f>IF(Dashboard!$B$14="Retention %",(1-Dashboard!$B$5)^14,IF(Dashboard!$B$14="MRR ($)",$B8*Dashboard!$B$4*(1-Dashboard!$B$5+Dashboard!$B$6)^14,IF(Dashboard!$B$14="Churned Customers",$B8*(1-(1-Dashboard!$B$5)^14),IF(Dashboard!$B$14="Cumulative Revenue ($)",$B8*Dashboard!$B$4*IF(Dashboard!$B$5=Dashboard!$B$6,15,((1-Dashboard!$B$5+Dashboard!$B$6)^15-1)/(Dashboard!$B$6-Dashboard!$B$5)),IF(Dashboard!$B$14="LTV per Customer ($)",IF($B8&gt;0,Dashboard!$B$4*IF(Dashboard!$B$5=Dashboard!$B$6,15,((1-Dashboard!$B$5+Dashboard!$B$6)^15-1)/(Dashboard!$B$6-Dashboard!$B$5)),0),"")))))</f>
        <v>0.36204393768990734</v>
      </c>
      <c r="R8" s="16">
        <f>IF(Dashboard!$B$14="Retention %",(1-Dashboard!$B$5)^15,IF(Dashboard!$B$14="MRR ($)",$B8*Dashboard!$B$4*(1-Dashboard!$B$5+Dashboard!$B$6)^15,IF(Dashboard!$B$14="Churned Customers",$B8*(1-(1-Dashboard!$B$5)^15),IF(Dashboard!$B$14="Cumulative Revenue ($)",$B8*Dashboard!$B$4*IF(Dashboard!$B$5=Dashboard!$B$6,16,((1-Dashboard!$B$5+Dashboard!$B$6)^16-1)/(Dashboard!$B$6-Dashboard!$B$5)),IF(Dashboard!$B$14="LTV per Customer ($)",IF($B8&gt;0,Dashboard!$B$4*IF(Dashboard!$B$5=Dashboard!$B$6,16,((1-Dashboard!$B$5+Dashboard!$B$6)^16-1)/(Dashboard!$B$6-Dashboard!$B$5)),0),"")))))</f>
        <v>0.33670086205161381</v>
      </c>
      <c r="S8" s="16">
        <f>IF(Dashboard!$B$14="Retention %",(1-Dashboard!$B$5)^16,IF(Dashboard!$B$14="MRR ($)",$B8*Dashboard!$B$4*(1-Dashboard!$B$5+Dashboard!$B$6)^16,IF(Dashboard!$B$14="Churned Customers",$B8*(1-(1-Dashboard!$B$5)^16),IF(Dashboard!$B$14="Cumulative Revenue ($)",$B8*Dashboard!$B$4*IF(Dashboard!$B$5=Dashboard!$B$6,17,((1-Dashboard!$B$5+Dashboard!$B$6)^17-1)/(Dashboard!$B$6-Dashboard!$B$5)),IF(Dashboard!$B$14="LTV per Customer ($)",IF($B8&gt;0,Dashboard!$B$4*IF(Dashboard!$B$5=Dashboard!$B$6,17,((1-Dashboard!$B$5+Dashboard!$B$6)^17-1)/(Dashboard!$B$6-Dashboard!$B$5)),0),"")))))</f>
        <v>0.31313180170800081</v>
      </c>
      <c r="T8" s="16">
        <f>IF(Dashboard!$B$14="Retention %",(1-Dashboard!$B$5)^17,IF(Dashboard!$B$14="MRR ($)",$B8*Dashboard!$B$4*(1-Dashboard!$B$5+Dashboard!$B$6)^17,IF(Dashboard!$B$14="Churned Customers",$B8*(1-(1-Dashboard!$B$5)^17),IF(Dashboard!$B$14="Cumulative Revenue ($)",$B8*Dashboard!$B$4*IF(Dashboard!$B$5=Dashboard!$B$6,18,((1-Dashboard!$B$5+Dashboard!$B$6)^18-1)/(Dashboard!$B$6-Dashboard!$B$5)),IF(Dashboard!$B$14="LTV per Customer ($)",IF($B8&gt;0,Dashboard!$B$4*IF(Dashboard!$B$5=Dashboard!$B$6,18,((1-Dashboard!$B$5+Dashboard!$B$6)^18-1)/(Dashboard!$B$6-Dashboard!$B$5)),0),"")))))</f>
        <v>0.29121257558844071</v>
      </c>
      <c r="U8" s="16">
        <f>IF(Dashboard!$B$14="Retention %",(1-Dashboard!$B$5)^18,IF(Dashboard!$B$14="MRR ($)",$B8*Dashboard!$B$4*(1-Dashboard!$B$5+Dashboard!$B$6)^18,IF(Dashboard!$B$14="Churned Customers",$B8*(1-(1-Dashboard!$B$5)^18),IF(Dashboard!$B$14="Cumulative Revenue ($)",$B8*Dashboard!$B$4*IF(Dashboard!$B$5=Dashboard!$B$6,19,((1-Dashboard!$B$5+Dashboard!$B$6)^19-1)/(Dashboard!$B$6-Dashboard!$B$5)),IF(Dashboard!$B$14="LTV per Customer ($)",IF($B8&gt;0,Dashboard!$B$4*IF(Dashboard!$B$5=Dashboard!$B$6,19,((1-Dashboard!$B$5+Dashboard!$B$6)^19-1)/(Dashboard!$B$6-Dashboard!$B$5)),0),"")))))</f>
        <v>0.27082769529724987</v>
      </c>
      <c r="V8" s="16">
        <f>IF(Dashboard!$B$14="Retention %",(1-Dashboard!$B$5)^19,IF(Dashboard!$B$14="MRR ($)",$B8*Dashboard!$B$4*(1-Dashboard!$B$5+Dashboard!$B$6)^19,IF(Dashboard!$B$14="Churned Customers",$B8*(1-(1-Dashboard!$B$5)^19),IF(Dashboard!$B$14="Cumulative Revenue ($)",$B8*Dashboard!$B$4*IF(Dashboard!$B$5=Dashboard!$B$6,20,((1-Dashboard!$B$5+Dashboard!$B$6)^20-1)/(Dashboard!$B$6-Dashboard!$B$5)),IF(Dashboard!$B$14="LTV per Customer ($)",IF($B8&gt;0,Dashboard!$B$4*IF(Dashboard!$B$5=Dashboard!$B$6,20,((1-Dashboard!$B$5+Dashboard!$B$6)^20-1)/(Dashboard!$B$6-Dashboard!$B$5)),0),"")))))</f>
        <v>0.2518697566264424</v>
      </c>
      <c r="W8" s="16">
        <f>IF(Dashboard!$B$14="Retention %",(1-Dashboard!$B$5)^20,IF(Dashboard!$B$14="MRR ($)",$B8*Dashboard!$B$4*(1-Dashboard!$B$5+Dashboard!$B$6)^20,IF(Dashboard!$B$14="Churned Customers",$B8*(1-(1-Dashboard!$B$5)^20),IF(Dashboard!$B$14="Cumulative Revenue ($)",$B8*Dashboard!$B$4*IF(Dashboard!$B$5=Dashboard!$B$6,21,((1-Dashboard!$B$5+Dashboard!$B$6)^21-1)/(Dashboard!$B$6-Dashboard!$B$5)),IF(Dashboard!$B$14="LTV per Customer ($)",IF($B8&gt;0,Dashboard!$B$4*IF(Dashboard!$B$5=Dashboard!$B$6,21,((1-Dashboard!$B$5+Dashboard!$B$6)^21-1)/(Dashboard!$B$6-Dashboard!$B$5)),0),"")))))</f>
        <v>0.23423887366259136</v>
      </c>
      <c r="X8" s="16">
        <f>IF(Dashboard!$B$14="Retention %",(1-Dashboard!$B$5)^21,IF(Dashboard!$B$14="MRR ($)",$B8*Dashboard!$B$4*(1-Dashboard!$B$5+Dashboard!$B$6)^21,IF(Dashboard!$B$14="Churned Customers",$B8*(1-(1-Dashboard!$B$5)^21),IF(Dashboard!$B$14="Cumulative Revenue ($)",$B8*Dashboard!$B$4*IF(Dashboard!$B$5=Dashboard!$B$6,22,((1-Dashboard!$B$5+Dashboard!$B$6)^22-1)/(Dashboard!$B$6-Dashboard!$B$5)),IF(Dashboard!$B$14="LTV per Customer ($)",IF($B8&gt;0,Dashboard!$B$4*IF(Dashboard!$B$5=Dashboard!$B$6,22,((1-Dashboard!$B$5+Dashboard!$B$6)^22-1)/(Dashboard!$B$6-Dashboard!$B$5)),0),"")))))</f>
        <v>0.21784215250620997</v>
      </c>
      <c r="Y8" s="16">
        <f>IF(Dashboard!$B$14="Retention %",(1-Dashboard!$B$5)^22,IF(Dashboard!$B$14="MRR ($)",$B8*Dashboard!$B$4*(1-Dashboard!$B$5+Dashboard!$B$6)^22,IF(Dashboard!$B$14="Churned Customers",$B8*(1-(1-Dashboard!$B$5)^22),IF(Dashboard!$B$14="Cumulative Revenue ($)",$B8*Dashboard!$B$4*IF(Dashboard!$B$5=Dashboard!$B$6,23,((1-Dashboard!$B$5+Dashboard!$B$6)^23-1)/(Dashboard!$B$6-Dashboard!$B$5)),IF(Dashboard!$B$14="LTV per Customer ($)",IF($B8&gt;0,Dashboard!$B$4*IF(Dashboard!$B$5=Dashboard!$B$6,23,((1-Dashboard!$B$5+Dashboard!$B$6)^23-1)/(Dashboard!$B$6-Dashboard!$B$5)),0),"")))))</f>
        <v>0.20259320183077525</v>
      </c>
      <c r="Z8" s="16">
        <f>IF(Dashboard!$B$14="Retention %",(1-Dashboard!$B$5)^23,IF(Dashboard!$B$14="MRR ($)",$B8*Dashboard!$B$4*(1-Dashboard!$B$5+Dashboard!$B$6)^23,IF(Dashboard!$B$14="Churned Customers",$B8*(1-(1-Dashboard!$B$5)^23),IF(Dashboard!$B$14="Cumulative Revenue ($)",$B8*Dashboard!$B$4*IF(Dashboard!$B$5=Dashboard!$B$6,24,((1-Dashboard!$B$5+Dashboard!$B$6)^24-1)/(Dashboard!$B$6-Dashboard!$B$5)),IF(Dashboard!$B$14="LTV per Customer ($)",IF($B8&gt;0,Dashboard!$B$4*IF(Dashboard!$B$5=Dashboard!$B$6,24,((1-Dashboard!$B$5+Dashboard!$B$6)^24-1)/(Dashboard!$B$6-Dashboard!$B$5)),0),"")))))</f>
        <v>0.18841167770262096</v>
      </c>
      <c r="AA8" s="16">
        <f>IF(Dashboard!$B$14="Retention %",(1-Dashboard!$B$5)^24,IF(Dashboard!$B$14="MRR ($)",$B8*Dashboard!$B$4*(1-Dashboard!$B$5+Dashboard!$B$6)^24,IF(Dashboard!$B$14="Churned Customers",$B8*(1-(1-Dashboard!$B$5)^24),IF(Dashboard!$B$14="Cumulative Revenue ($)",$B8*Dashboard!$B$4*IF(Dashboard!$B$5=Dashboard!$B$6,25,((1-Dashboard!$B$5+Dashboard!$B$6)^25-1)/(Dashboard!$B$6-Dashboard!$B$5)),IF(Dashboard!$B$14="LTV per Customer ($)",IF($B8&gt;0,Dashboard!$B$4*IF(Dashboard!$B$5=Dashboard!$B$6,25,((1-Dashboard!$B$5+Dashboard!$B$6)^25-1)/(Dashboard!$B$6-Dashboard!$B$5)),0),"")))))</f>
        <v>0.1752228602634375</v>
      </c>
      <c r="AB8" s="16">
        <f>IF(Dashboard!$B$14="Retention %",(1-Dashboard!$B$5)^25,IF(Dashboard!$B$14="MRR ($)",$B8*Dashboard!$B$4*(1-Dashboard!$B$5+Dashboard!$B$6)^25,IF(Dashboard!$B$14="Churned Customers",$B8*(1-(1-Dashboard!$B$5)^25),IF(Dashboard!$B$14="Cumulative Revenue ($)",$B8*Dashboard!$B$4*IF(Dashboard!$B$5=Dashboard!$B$6,26,((1-Dashboard!$B$5+Dashboard!$B$6)^26-1)/(Dashboard!$B$6-Dashboard!$B$5)),IF(Dashboard!$B$14="LTV per Customer ($)",IF($B8&gt;0,Dashboard!$B$4*IF(Dashboard!$B$5=Dashboard!$B$6,26,((1-Dashboard!$B$5+Dashboard!$B$6)^26-1)/(Dashboard!$B$6-Dashboard!$B$5)),0),"")))))</f>
        <v>0.16295726004499683</v>
      </c>
      <c r="AC8" s="16">
        <f>IF(Dashboard!$B$14="Retention %",(1-Dashboard!$B$5)^26,IF(Dashboard!$B$14="MRR ($)",$B8*Dashboard!$B$4*(1-Dashboard!$B$5+Dashboard!$B$6)^26,IF(Dashboard!$B$14="Churned Customers",$B8*(1-(1-Dashboard!$B$5)^26),IF(Dashboard!$B$14="Cumulative Revenue ($)",$B8*Dashboard!$B$4*IF(Dashboard!$B$5=Dashboard!$B$6,27,((1-Dashboard!$B$5+Dashboard!$B$6)^27-1)/(Dashboard!$B$6-Dashboard!$B$5)),IF(Dashboard!$B$14="LTV per Customer ($)",IF($B8&gt;0,Dashboard!$B$4*IF(Dashboard!$B$5=Dashboard!$B$6,27,((1-Dashboard!$B$5+Dashboard!$B$6)^27-1)/(Dashboard!$B$6-Dashboard!$B$5)),0),"")))))</f>
        <v>0.15155025184184706</v>
      </c>
      <c r="AD8" s="16">
        <f>IF(Dashboard!$B$14="Retention %",(1-Dashboard!$B$5)^27,IF(Dashboard!$B$14="MRR ($)",$B8*Dashboard!$B$4*(1-Dashboard!$B$5+Dashboard!$B$6)^27,IF(Dashboard!$B$14="Churned Customers",$B8*(1-(1-Dashboard!$B$5)^27),IF(Dashboard!$B$14="Cumulative Revenue ($)",$B8*Dashboard!$B$4*IF(Dashboard!$B$5=Dashboard!$B$6,28,((1-Dashboard!$B$5+Dashboard!$B$6)^28-1)/(Dashboard!$B$6-Dashboard!$B$5)),IF(Dashboard!$B$14="LTV per Customer ($)",IF($B8&gt;0,Dashboard!$B$4*IF(Dashboard!$B$5=Dashboard!$B$6,28,((1-Dashboard!$B$5+Dashboard!$B$6)^28-1)/(Dashboard!$B$6-Dashboard!$B$5)),0),"")))))</f>
        <v>0.14094173421291775</v>
      </c>
      <c r="AE8" s="16">
        <f>IF(Dashboard!$B$14="Retention %",(1-Dashboard!$B$5)^28,IF(Dashboard!$B$14="MRR ($)",$B8*Dashboard!$B$4*(1-Dashboard!$B$5+Dashboard!$B$6)^28,IF(Dashboard!$B$14="Churned Customers",$B8*(1-(1-Dashboard!$B$5)^28),IF(Dashboard!$B$14="Cumulative Revenue ($)",$B8*Dashboard!$B$4*IF(Dashboard!$B$5=Dashboard!$B$6,29,((1-Dashboard!$B$5+Dashboard!$B$6)^29-1)/(Dashboard!$B$6-Dashboard!$B$5)),IF(Dashboard!$B$14="LTV per Customer ($)",IF($B8&gt;0,Dashboard!$B$4*IF(Dashboard!$B$5=Dashboard!$B$6,29,((1-Dashboard!$B$5+Dashboard!$B$6)^29-1)/(Dashboard!$B$6-Dashboard!$B$5)),0),"")))))</f>
        <v>0.1310758128180135</v>
      </c>
      <c r="AF8" s="16">
        <f>IF(Dashboard!$B$14="Retention %",(1-Dashboard!$B$5)^29,IF(Dashboard!$B$14="MRR ($)",$B8*Dashboard!$B$4*(1-Dashboard!$B$5+Dashboard!$B$6)^29,IF(Dashboard!$B$14="Churned Customers",$B8*(1-(1-Dashboard!$B$5)^29),IF(Dashboard!$B$14="Cumulative Revenue ($)",$B8*Dashboard!$B$4*IF(Dashboard!$B$5=Dashboard!$B$6,30,((1-Dashboard!$B$5+Dashboard!$B$6)^30-1)/(Dashboard!$B$6-Dashboard!$B$5)),IF(Dashboard!$B$14="LTV per Customer ($)",IF($B8&gt;0,Dashboard!$B$4*IF(Dashboard!$B$5=Dashboard!$B$6,30,((1-Dashboard!$B$5+Dashboard!$B$6)^30-1)/(Dashboard!$B$6-Dashboard!$B$5)),0),"")))))</f>
        <v>0.12190050592075255</v>
      </c>
      <c r="AG8" s="16">
        <f>IF(Dashboard!$B$14="Retention %",(1-Dashboard!$B$5)^30,IF(Dashboard!$B$14="MRR ($)",$B8*Dashboard!$B$4*(1-Dashboard!$B$5+Dashboard!$B$6)^30,IF(Dashboard!$B$14="Churned Customers",$B8*(1-(1-Dashboard!$B$5)^30),IF(Dashboard!$B$14="Cumulative Revenue ($)",$B8*Dashboard!$B$4*IF(Dashboard!$B$5=Dashboard!$B$6,31,((1-Dashboard!$B$5+Dashboard!$B$6)^31-1)/(Dashboard!$B$6-Dashboard!$B$5)),IF(Dashboard!$B$14="LTV per Customer ($)",IF($B8&gt;0,Dashboard!$B$4*IF(Dashboard!$B$5=Dashboard!$B$6,31,((1-Dashboard!$B$5+Dashboard!$B$6)^31-1)/(Dashboard!$B$6-Dashboard!$B$5)),0),"")))))</f>
        <v>0.11336747050629986</v>
      </c>
      <c r="AH8" s="16"/>
      <c r="AI8" s="16"/>
      <c r="AJ8" s="16"/>
      <c r="AK8" s="16"/>
      <c r="AL8" s="21"/>
    </row>
    <row r="9" spans="1:38" x14ac:dyDescent="0.35">
      <c r="A9" s="40" t="s">
        <v>91</v>
      </c>
      <c r="B9" s="44">
        <v>1</v>
      </c>
      <c r="C9" s="46">
        <f>IF(Dashboard!$B$14="Retention %",1,IF(Dashboard!$B$14="MRR ($)",$B9*Dashboard!$B$4,IF(Dashboard!$B$14="Churned Customers",0,IF(Dashboard!$B$14="Cumulative Revenue ($)",$B9*Dashboard!$B$4,IF(Dashboard!$B$14="LTV per Customer ($)",IF($B9&gt;0,Dashboard!$B$4,0),"")))))</f>
        <v>1</v>
      </c>
      <c r="D9" s="37">
        <f>IF(Dashboard!$B$14="Retention %",(1-Dashboard!$B$5)^1,IF(Dashboard!$B$14="MRR ($)",$B9*Dashboard!$B$4*(1-Dashboard!$B$5+Dashboard!$B$6)^1,IF(Dashboard!$B$14="Churned Customers",$B9*(1-(1-Dashboard!$B$5)^1),IF(Dashboard!$B$14="Cumulative Revenue ($)",$B9*Dashboard!$B$4*IF(Dashboard!$B$5=Dashboard!$B$6,2,((1-Dashboard!$B$5+Dashboard!$B$6)^2-1)/(Dashboard!$B$6-Dashboard!$B$5)),IF(Dashboard!$B$14="LTV per Customer ($)",IF($B9&gt;0,Dashboard!$B$4*IF(Dashboard!$B$5=Dashboard!$B$6,2,((1-Dashboard!$B$5+Dashboard!$B$6)^2-1)/(Dashboard!$B$6-Dashboard!$B$5)),0),"")))))</f>
        <v>0.92999999999999994</v>
      </c>
      <c r="E9" s="37">
        <f>IF(Dashboard!$B$14="Retention %",(1-Dashboard!$B$5)^2,IF(Dashboard!$B$14="MRR ($)",$B9*Dashboard!$B$4*(1-Dashboard!$B$5+Dashboard!$B$6)^2,IF(Dashboard!$B$14="Churned Customers",$B9*(1-(1-Dashboard!$B$5)^2),IF(Dashboard!$B$14="Cumulative Revenue ($)",$B9*Dashboard!$B$4*IF(Dashboard!$B$5=Dashboard!$B$6,3,((1-Dashboard!$B$5+Dashboard!$B$6)^3-1)/(Dashboard!$B$6-Dashboard!$B$5)),IF(Dashboard!$B$14="LTV per Customer ($)",IF($B9&gt;0,Dashboard!$B$4*IF(Dashboard!$B$5=Dashboard!$B$6,3,((1-Dashboard!$B$5+Dashboard!$B$6)^3-1)/(Dashboard!$B$6-Dashboard!$B$5)),0),"")))))</f>
        <v>0.86489999999999989</v>
      </c>
      <c r="F9" s="37">
        <f>IF(Dashboard!$B$14="Retention %",(1-Dashboard!$B$5)^3,IF(Dashboard!$B$14="MRR ($)",$B9*Dashboard!$B$4*(1-Dashboard!$B$5+Dashboard!$B$6)^3,IF(Dashboard!$B$14="Churned Customers",$B9*(1-(1-Dashboard!$B$5)^3),IF(Dashboard!$B$14="Cumulative Revenue ($)",$B9*Dashboard!$B$4*IF(Dashboard!$B$5=Dashboard!$B$6,4,((1-Dashboard!$B$5+Dashboard!$B$6)^4-1)/(Dashboard!$B$6-Dashboard!$B$5)),IF(Dashboard!$B$14="LTV per Customer ($)",IF($B9&gt;0,Dashboard!$B$4*IF(Dashboard!$B$5=Dashboard!$B$6,4,((1-Dashboard!$B$5+Dashboard!$B$6)^4-1)/(Dashboard!$B$6-Dashboard!$B$5)),0),"")))))</f>
        <v>0.80435699999999988</v>
      </c>
      <c r="G9" s="37">
        <f>IF(Dashboard!$B$14="Retention %",(1-Dashboard!$B$5)^4,IF(Dashboard!$B$14="MRR ($)",$B9*Dashboard!$B$4*(1-Dashboard!$B$5+Dashboard!$B$6)^4,IF(Dashboard!$B$14="Churned Customers",$B9*(1-(1-Dashboard!$B$5)^4),IF(Dashboard!$B$14="Cumulative Revenue ($)",$B9*Dashboard!$B$4*IF(Dashboard!$B$5=Dashboard!$B$6,5,((1-Dashboard!$B$5+Dashboard!$B$6)^5-1)/(Dashboard!$B$6-Dashboard!$B$5)),IF(Dashboard!$B$14="LTV per Customer ($)",IF($B9&gt;0,Dashboard!$B$4*IF(Dashboard!$B$5=Dashboard!$B$6,5,((1-Dashboard!$B$5+Dashboard!$B$6)^5-1)/(Dashboard!$B$6-Dashboard!$B$5)),0),"")))))</f>
        <v>0.74805200999999977</v>
      </c>
      <c r="H9" s="37">
        <f>IF(Dashboard!$B$14="Retention %",(1-Dashboard!$B$5)^5,IF(Dashboard!$B$14="MRR ($)",$B9*Dashboard!$B$4*(1-Dashboard!$B$5+Dashboard!$B$6)^5,IF(Dashboard!$B$14="Churned Customers",$B9*(1-(1-Dashboard!$B$5)^5),IF(Dashboard!$B$14="Cumulative Revenue ($)",$B9*Dashboard!$B$4*IF(Dashboard!$B$5=Dashboard!$B$6,6,((1-Dashboard!$B$5+Dashboard!$B$6)^6-1)/(Dashboard!$B$6-Dashboard!$B$5)),IF(Dashboard!$B$14="LTV per Customer ($)",IF($B9&gt;0,Dashboard!$B$4*IF(Dashboard!$B$5=Dashboard!$B$6,6,((1-Dashboard!$B$5+Dashboard!$B$6)^6-1)/(Dashboard!$B$6-Dashboard!$B$5)),0),"")))))</f>
        <v>0.69568836929999978</v>
      </c>
      <c r="I9" s="37">
        <f>IF(Dashboard!$B$14="Retention %",(1-Dashboard!$B$5)^6,IF(Dashboard!$B$14="MRR ($)",$B9*Dashboard!$B$4*(1-Dashboard!$B$5+Dashboard!$B$6)^6,IF(Dashboard!$B$14="Churned Customers",$B9*(1-(1-Dashboard!$B$5)^6),IF(Dashboard!$B$14="Cumulative Revenue ($)",$B9*Dashboard!$B$4*IF(Dashboard!$B$5=Dashboard!$B$6,7,((1-Dashboard!$B$5+Dashboard!$B$6)^7-1)/(Dashboard!$B$6-Dashboard!$B$5)),IF(Dashboard!$B$14="LTV per Customer ($)",IF($B9&gt;0,Dashboard!$B$4*IF(Dashboard!$B$5=Dashboard!$B$6,7,((1-Dashboard!$B$5+Dashboard!$B$6)^7-1)/(Dashboard!$B$6-Dashboard!$B$5)),0),"")))))</f>
        <v>0.64699018344899972</v>
      </c>
      <c r="J9" s="37">
        <f>IF(Dashboard!$B$14="Retention %",(1-Dashboard!$B$5)^7,IF(Dashboard!$B$14="MRR ($)",$B9*Dashboard!$B$4*(1-Dashboard!$B$5+Dashboard!$B$6)^7,IF(Dashboard!$B$14="Churned Customers",$B9*(1-(1-Dashboard!$B$5)^7),IF(Dashboard!$B$14="Cumulative Revenue ($)",$B9*Dashboard!$B$4*IF(Dashboard!$B$5=Dashboard!$B$6,8,((1-Dashboard!$B$5+Dashboard!$B$6)^8-1)/(Dashboard!$B$6-Dashboard!$B$5)),IF(Dashboard!$B$14="LTV per Customer ($)",IF($B9&gt;0,Dashboard!$B$4*IF(Dashboard!$B$5=Dashboard!$B$6,8,((1-Dashboard!$B$5+Dashboard!$B$6)^8-1)/(Dashboard!$B$6-Dashboard!$B$5)),0),"")))))</f>
        <v>0.60170087060756972</v>
      </c>
      <c r="K9" s="37">
        <f>IF(Dashboard!$B$14="Retention %",(1-Dashboard!$B$5)^8,IF(Dashboard!$B$14="MRR ($)",$B9*Dashboard!$B$4*(1-Dashboard!$B$5+Dashboard!$B$6)^8,IF(Dashboard!$B$14="Churned Customers",$B9*(1-(1-Dashboard!$B$5)^8),IF(Dashboard!$B$14="Cumulative Revenue ($)",$B9*Dashboard!$B$4*IF(Dashboard!$B$5=Dashboard!$B$6,9,((1-Dashboard!$B$5+Dashboard!$B$6)^9-1)/(Dashboard!$B$6-Dashboard!$B$5)),IF(Dashboard!$B$14="LTV per Customer ($)",IF($B9&gt;0,Dashboard!$B$4*IF(Dashboard!$B$5=Dashboard!$B$6,9,((1-Dashboard!$B$5+Dashboard!$B$6)^9-1)/(Dashboard!$B$6-Dashboard!$B$5)),0),"")))))</f>
        <v>0.55958180966503979</v>
      </c>
      <c r="L9" s="37">
        <f>IF(Dashboard!$B$14="Retention %",(1-Dashboard!$B$5)^9,IF(Dashboard!$B$14="MRR ($)",$B9*Dashboard!$B$4*(1-Dashboard!$B$5+Dashboard!$B$6)^9,IF(Dashboard!$B$14="Churned Customers",$B9*(1-(1-Dashboard!$B$5)^9),IF(Dashboard!$B$14="Cumulative Revenue ($)",$B9*Dashboard!$B$4*IF(Dashboard!$B$5=Dashboard!$B$6,10,((1-Dashboard!$B$5+Dashboard!$B$6)^10-1)/(Dashboard!$B$6-Dashboard!$B$5)),IF(Dashboard!$B$14="LTV per Customer ($)",IF($B9&gt;0,Dashboard!$B$4*IF(Dashboard!$B$5=Dashboard!$B$6,10,((1-Dashboard!$B$5+Dashboard!$B$6)^10-1)/(Dashboard!$B$6-Dashboard!$B$5)),0),"")))))</f>
        <v>0.52041108298848693</v>
      </c>
      <c r="M9" s="17">
        <f>IF(Dashboard!$B$14="Retention %",(1-Dashboard!$B$5)^10,IF(Dashboard!$B$14="MRR ($)",$B9*Dashboard!$B$4*(1-Dashboard!$B$5+Dashboard!$B$6)^10,IF(Dashboard!$B$14="Churned Customers",$B9*(1-(1-Dashboard!$B$5)^10),IF(Dashboard!$B$14="Cumulative Revenue ($)",$B9*Dashboard!$B$4*IF(Dashboard!$B$5=Dashboard!$B$6,11,((1-Dashboard!$B$5+Dashboard!$B$6)^11-1)/(Dashboard!$B$6-Dashboard!$B$5)),IF(Dashboard!$B$14="LTV per Customer ($)",IF($B9&gt;0,Dashboard!$B$4*IF(Dashboard!$B$5=Dashboard!$B$6,11,((1-Dashboard!$B$5+Dashboard!$B$6)^11-1)/(Dashboard!$B$6-Dashboard!$B$5)),0),"")))))</f>
        <v>0.48398230717929286</v>
      </c>
      <c r="N9" s="17">
        <f>IF(Dashboard!$B$14="Retention %",(1-Dashboard!$B$5)^11,IF(Dashboard!$B$14="MRR ($)",$B9*Dashboard!$B$4*(1-Dashboard!$B$5+Dashboard!$B$6)^11,IF(Dashboard!$B$14="Churned Customers",$B9*(1-(1-Dashboard!$B$5)^11),IF(Dashboard!$B$14="Cumulative Revenue ($)",$B9*Dashboard!$B$4*IF(Dashboard!$B$5=Dashboard!$B$6,12,((1-Dashboard!$B$5+Dashboard!$B$6)^12-1)/(Dashboard!$B$6-Dashboard!$B$5)),IF(Dashboard!$B$14="LTV per Customer ($)",IF($B9&gt;0,Dashboard!$B$4*IF(Dashboard!$B$5=Dashboard!$B$6,12,((1-Dashboard!$B$5+Dashboard!$B$6)^12-1)/(Dashboard!$B$6-Dashboard!$B$5)),0),"")))))</f>
        <v>0.45010354567674232</v>
      </c>
      <c r="O9" s="17">
        <f>IF(Dashboard!$B$14="Retention %",(1-Dashboard!$B$5)^12,IF(Dashboard!$B$14="MRR ($)",$B9*Dashboard!$B$4*(1-Dashboard!$B$5+Dashboard!$B$6)^12,IF(Dashboard!$B$14="Churned Customers",$B9*(1-(1-Dashboard!$B$5)^12),IF(Dashboard!$B$14="Cumulative Revenue ($)",$B9*Dashboard!$B$4*IF(Dashboard!$B$5=Dashboard!$B$6,13,((1-Dashboard!$B$5+Dashboard!$B$6)^13-1)/(Dashboard!$B$6-Dashboard!$B$5)),IF(Dashboard!$B$14="LTV per Customer ($)",IF($B9&gt;0,Dashboard!$B$4*IF(Dashboard!$B$5=Dashboard!$B$6,13,((1-Dashboard!$B$5+Dashboard!$B$6)^13-1)/(Dashboard!$B$6-Dashboard!$B$5)),0),"")))))</f>
        <v>0.41859629747937033</v>
      </c>
      <c r="P9" s="17">
        <f>IF(Dashboard!$B$14="Retention %",(1-Dashboard!$B$5)^13,IF(Dashboard!$B$14="MRR ($)",$B9*Dashboard!$B$4*(1-Dashboard!$B$5+Dashboard!$B$6)^13,IF(Dashboard!$B$14="Churned Customers",$B9*(1-(1-Dashboard!$B$5)^13),IF(Dashboard!$B$14="Cumulative Revenue ($)",$B9*Dashboard!$B$4*IF(Dashboard!$B$5=Dashboard!$B$6,14,((1-Dashboard!$B$5+Dashboard!$B$6)^14-1)/(Dashboard!$B$6-Dashboard!$B$5)),IF(Dashboard!$B$14="LTV per Customer ($)",IF($B9&gt;0,Dashboard!$B$4*IF(Dashboard!$B$5=Dashboard!$B$6,14,((1-Dashboard!$B$5+Dashboard!$B$6)^14-1)/(Dashboard!$B$6-Dashboard!$B$5)),0),"")))))</f>
        <v>0.38929455665581436</v>
      </c>
      <c r="Q9" s="17">
        <f>IF(Dashboard!$B$14="Retention %",(1-Dashboard!$B$5)^14,IF(Dashboard!$B$14="MRR ($)",$B9*Dashboard!$B$4*(1-Dashboard!$B$5+Dashboard!$B$6)^14,IF(Dashboard!$B$14="Churned Customers",$B9*(1-(1-Dashboard!$B$5)^14),IF(Dashboard!$B$14="Cumulative Revenue ($)",$B9*Dashboard!$B$4*IF(Dashboard!$B$5=Dashboard!$B$6,15,((1-Dashboard!$B$5+Dashboard!$B$6)^15-1)/(Dashboard!$B$6-Dashboard!$B$5)),IF(Dashboard!$B$14="LTV per Customer ($)",IF($B9&gt;0,Dashboard!$B$4*IF(Dashboard!$B$5=Dashboard!$B$6,15,((1-Dashboard!$B$5+Dashboard!$B$6)^15-1)/(Dashboard!$B$6-Dashboard!$B$5)),0),"")))))</f>
        <v>0.36204393768990734</v>
      </c>
      <c r="R9" s="17">
        <f>IF(Dashboard!$B$14="Retention %",(1-Dashboard!$B$5)^15,IF(Dashboard!$B$14="MRR ($)",$B9*Dashboard!$B$4*(1-Dashboard!$B$5+Dashboard!$B$6)^15,IF(Dashboard!$B$14="Churned Customers",$B9*(1-(1-Dashboard!$B$5)^15),IF(Dashboard!$B$14="Cumulative Revenue ($)",$B9*Dashboard!$B$4*IF(Dashboard!$B$5=Dashboard!$B$6,16,((1-Dashboard!$B$5+Dashboard!$B$6)^16-1)/(Dashboard!$B$6-Dashboard!$B$5)),IF(Dashboard!$B$14="LTV per Customer ($)",IF($B9&gt;0,Dashboard!$B$4*IF(Dashboard!$B$5=Dashboard!$B$6,16,((1-Dashboard!$B$5+Dashboard!$B$6)^16-1)/(Dashboard!$B$6-Dashboard!$B$5)),0),"")))))</f>
        <v>0.33670086205161381</v>
      </c>
      <c r="S9" s="17">
        <f>IF(Dashboard!$B$14="Retention %",(1-Dashboard!$B$5)^16,IF(Dashboard!$B$14="MRR ($)",$B9*Dashboard!$B$4*(1-Dashboard!$B$5+Dashboard!$B$6)^16,IF(Dashboard!$B$14="Churned Customers",$B9*(1-(1-Dashboard!$B$5)^16),IF(Dashboard!$B$14="Cumulative Revenue ($)",$B9*Dashboard!$B$4*IF(Dashboard!$B$5=Dashboard!$B$6,17,((1-Dashboard!$B$5+Dashboard!$B$6)^17-1)/(Dashboard!$B$6-Dashboard!$B$5)),IF(Dashboard!$B$14="LTV per Customer ($)",IF($B9&gt;0,Dashboard!$B$4*IF(Dashboard!$B$5=Dashboard!$B$6,17,((1-Dashboard!$B$5+Dashboard!$B$6)^17-1)/(Dashboard!$B$6-Dashboard!$B$5)),0),"")))))</f>
        <v>0.31313180170800081</v>
      </c>
      <c r="T9" s="17">
        <f>IF(Dashboard!$B$14="Retention %",(1-Dashboard!$B$5)^17,IF(Dashboard!$B$14="MRR ($)",$B9*Dashboard!$B$4*(1-Dashboard!$B$5+Dashboard!$B$6)^17,IF(Dashboard!$B$14="Churned Customers",$B9*(1-(1-Dashboard!$B$5)^17),IF(Dashboard!$B$14="Cumulative Revenue ($)",$B9*Dashboard!$B$4*IF(Dashboard!$B$5=Dashboard!$B$6,18,((1-Dashboard!$B$5+Dashboard!$B$6)^18-1)/(Dashboard!$B$6-Dashboard!$B$5)),IF(Dashboard!$B$14="LTV per Customer ($)",IF($B9&gt;0,Dashboard!$B$4*IF(Dashboard!$B$5=Dashboard!$B$6,18,((1-Dashboard!$B$5+Dashboard!$B$6)^18-1)/(Dashboard!$B$6-Dashboard!$B$5)),0),"")))))</f>
        <v>0.29121257558844071</v>
      </c>
      <c r="U9" s="17">
        <f>IF(Dashboard!$B$14="Retention %",(1-Dashboard!$B$5)^18,IF(Dashboard!$B$14="MRR ($)",$B9*Dashboard!$B$4*(1-Dashboard!$B$5+Dashboard!$B$6)^18,IF(Dashboard!$B$14="Churned Customers",$B9*(1-(1-Dashboard!$B$5)^18),IF(Dashboard!$B$14="Cumulative Revenue ($)",$B9*Dashboard!$B$4*IF(Dashboard!$B$5=Dashboard!$B$6,19,((1-Dashboard!$B$5+Dashboard!$B$6)^19-1)/(Dashboard!$B$6-Dashboard!$B$5)),IF(Dashboard!$B$14="LTV per Customer ($)",IF($B9&gt;0,Dashboard!$B$4*IF(Dashboard!$B$5=Dashboard!$B$6,19,((1-Dashboard!$B$5+Dashboard!$B$6)^19-1)/(Dashboard!$B$6-Dashboard!$B$5)),0),"")))))</f>
        <v>0.27082769529724987</v>
      </c>
      <c r="V9" s="17">
        <f>IF(Dashboard!$B$14="Retention %",(1-Dashboard!$B$5)^19,IF(Dashboard!$B$14="MRR ($)",$B9*Dashboard!$B$4*(1-Dashboard!$B$5+Dashboard!$B$6)^19,IF(Dashboard!$B$14="Churned Customers",$B9*(1-(1-Dashboard!$B$5)^19),IF(Dashboard!$B$14="Cumulative Revenue ($)",$B9*Dashboard!$B$4*IF(Dashboard!$B$5=Dashboard!$B$6,20,((1-Dashboard!$B$5+Dashboard!$B$6)^20-1)/(Dashboard!$B$6-Dashboard!$B$5)),IF(Dashboard!$B$14="LTV per Customer ($)",IF($B9&gt;0,Dashboard!$B$4*IF(Dashboard!$B$5=Dashboard!$B$6,20,((1-Dashboard!$B$5+Dashboard!$B$6)^20-1)/(Dashboard!$B$6-Dashboard!$B$5)),0),"")))))</f>
        <v>0.2518697566264424</v>
      </c>
      <c r="W9" s="17">
        <f>IF(Dashboard!$B$14="Retention %",(1-Dashboard!$B$5)^20,IF(Dashboard!$B$14="MRR ($)",$B9*Dashboard!$B$4*(1-Dashboard!$B$5+Dashboard!$B$6)^20,IF(Dashboard!$B$14="Churned Customers",$B9*(1-(1-Dashboard!$B$5)^20),IF(Dashboard!$B$14="Cumulative Revenue ($)",$B9*Dashboard!$B$4*IF(Dashboard!$B$5=Dashboard!$B$6,21,((1-Dashboard!$B$5+Dashboard!$B$6)^21-1)/(Dashboard!$B$6-Dashboard!$B$5)),IF(Dashboard!$B$14="LTV per Customer ($)",IF($B9&gt;0,Dashboard!$B$4*IF(Dashboard!$B$5=Dashboard!$B$6,21,((1-Dashboard!$B$5+Dashboard!$B$6)^21-1)/(Dashboard!$B$6-Dashboard!$B$5)),0),"")))))</f>
        <v>0.23423887366259136</v>
      </c>
      <c r="X9" s="17">
        <f>IF(Dashboard!$B$14="Retention %",(1-Dashboard!$B$5)^21,IF(Dashboard!$B$14="MRR ($)",$B9*Dashboard!$B$4*(1-Dashboard!$B$5+Dashboard!$B$6)^21,IF(Dashboard!$B$14="Churned Customers",$B9*(1-(1-Dashboard!$B$5)^21),IF(Dashboard!$B$14="Cumulative Revenue ($)",$B9*Dashboard!$B$4*IF(Dashboard!$B$5=Dashboard!$B$6,22,((1-Dashboard!$B$5+Dashboard!$B$6)^22-1)/(Dashboard!$B$6-Dashboard!$B$5)),IF(Dashboard!$B$14="LTV per Customer ($)",IF($B9&gt;0,Dashboard!$B$4*IF(Dashboard!$B$5=Dashboard!$B$6,22,((1-Dashboard!$B$5+Dashboard!$B$6)^22-1)/(Dashboard!$B$6-Dashboard!$B$5)),0),"")))))</f>
        <v>0.21784215250620997</v>
      </c>
      <c r="Y9" s="17">
        <f>IF(Dashboard!$B$14="Retention %",(1-Dashboard!$B$5)^22,IF(Dashboard!$B$14="MRR ($)",$B9*Dashboard!$B$4*(1-Dashboard!$B$5+Dashboard!$B$6)^22,IF(Dashboard!$B$14="Churned Customers",$B9*(1-(1-Dashboard!$B$5)^22),IF(Dashboard!$B$14="Cumulative Revenue ($)",$B9*Dashboard!$B$4*IF(Dashboard!$B$5=Dashboard!$B$6,23,((1-Dashboard!$B$5+Dashboard!$B$6)^23-1)/(Dashboard!$B$6-Dashboard!$B$5)),IF(Dashboard!$B$14="LTV per Customer ($)",IF($B9&gt;0,Dashboard!$B$4*IF(Dashboard!$B$5=Dashboard!$B$6,23,((1-Dashboard!$B$5+Dashboard!$B$6)^23-1)/(Dashboard!$B$6-Dashboard!$B$5)),0),"")))))</f>
        <v>0.20259320183077525</v>
      </c>
      <c r="Z9" s="17">
        <f>IF(Dashboard!$B$14="Retention %",(1-Dashboard!$B$5)^23,IF(Dashboard!$B$14="MRR ($)",$B9*Dashboard!$B$4*(1-Dashboard!$B$5+Dashboard!$B$6)^23,IF(Dashboard!$B$14="Churned Customers",$B9*(1-(1-Dashboard!$B$5)^23),IF(Dashboard!$B$14="Cumulative Revenue ($)",$B9*Dashboard!$B$4*IF(Dashboard!$B$5=Dashboard!$B$6,24,((1-Dashboard!$B$5+Dashboard!$B$6)^24-1)/(Dashboard!$B$6-Dashboard!$B$5)),IF(Dashboard!$B$14="LTV per Customer ($)",IF($B9&gt;0,Dashboard!$B$4*IF(Dashboard!$B$5=Dashboard!$B$6,24,((1-Dashboard!$B$5+Dashboard!$B$6)^24-1)/(Dashboard!$B$6-Dashboard!$B$5)),0),"")))))</f>
        <v>0.18841167770262096</v>
      </c>
      <c r="AA9" s="17">
        <f>IF(Dashboard!$B$14="Retention %",(1-Dashboard!$B$5)^24,IF(Dashboard!$B$14="MRR ($)",$B9*Dashboard!$B$4*(1-Dashboard!$B$5+Dashboard!$B$6)^24,IF(Dashboard!$B$14="Churned Customers",$B9*(1-(1-Dashboard!$B$5)^24),IF(Dashboard!$B$14="Cumulative Revenue ($)",$B9*Dashboard!$B$4*IF(Dashboard!$B$5=Dashboard!$B$6,25,((1-Dashboard!$B$5+Dashboard!$B$6)^25-1)/(Dashboard!$B$6-Dashboard!$B$5)),IF(Dashboard!$B$14="LTV per Customer ($)",IF($B9&gt;0,Dashboard!$B$4*IF(Dashboard!$B$5=Dashboard!$B$6,25,((1-Dashboard!$B$5+Dashboard!$B$6)^25-1)/(Dashboard!$B$6-Dashboard!$B$5)),0),"")))))</f>
        <v>0.1752228602634375</v>
      </c>
      <c r="AB9" s="17">
        <f>IF(Dashboard!$B$14="Retention %",(1-Dashboard!$B$5)^25,IF(Dashboard!$B$14="MRR ($)",$B9*Dashboard!$B$4*(1-Dashboard!$B$5+Dashboard!$B$6)^25,IF(Dashboard!$B$14="Churned Customers",$B9*(1-(1-Dashboard!$B$5)^25),IF(Dashboard!$B$14="Cumulative Revenue ($)",$B9*Dashboard!$B$4*IF(Dashboard!$B$5=Dashboard!$B$6,26,((1-Dashboard!$B$5+Dashboard!$B$6)^26-1)/(Dashboard!$B$6-Dashboard!$B$5)),IF(Dashboard!$B$14="LTV per Customer ($)",IF($B9&gt;0,Dashboard!$B$4*IF(Dashboard!$B$5=Dashboard!$B$6,26,((1-Dashboard!$B$5+Dashboard!$B$6)^26-1)/(Dashboard!$B$6-Dashboard!$B$5)),0),"")))))</f>
        <v>0.16295726004499683</v>
      </c>
      <c r="AC9" s="17">
        <f>IF(Dashboard!$B$14="Retention %",(1-Dashboard!$B$5)^26,IF(Dashboard!$B$14="MRR ($)",$B9*Dashboard!$B$4*(1-Dashboard!$B$5+Dashboard!$B$6)^26,IF(Dashboard!$B$14="Churned Customers",$B9*(1-(1-Dashboard!$B$5)^26),IF(Dashboard!$B$14="Cumulative Revenue ($)",$B9*Dashboard!$B$4*IF(Dashboard!$B$5=Dashboard!$B$6,27,((1-Dashboard!$B$5+Dashboard!$B$6)^27-1)/(Dashboard!$B$6-Dashboard!$B$5)),IF(Dashboard!$B$14="LTV per Customer ($)",IF($B9&gt;0,Dashboard!$B$4*IF(Dashboard!$B$5=Dashboard!$B$6,27,((1-Dashboard!$B$5+Dashboard!$B$6)^27-1)/(Dashboard!$B$6-Dashboard!$B$5)),0),"")))))</f>
        <v>0.15155025184184706</v>
      </c>
      <c r="AD9" s="17">
        <f>IF(Dashboard!$B$14="Retention %",(1-Dashboard!$B$5)^27,IF(Dashboard!$B$14="MRR ($)",$B9*Dashboard!$B$4*(1-Dashboard!$B$5+Dashboard!$B$6)^27,IF(Dashboard!$B$14="Churned Customers",$B9*(1-(1-Dashboard!$B$5)^27),IF(Dashboard!$B$14="Cumulative Revenue ($)",$B9*Dashboard!$B$4*IF(Dashboard!$B$5=Dashboard!$B$6,28,((1-Dashboard!$B$5+Dashboard!$B$6)^28-1)/(Dashboard!$B$6-Dashboard!$B$5)),IF(Dashboard!$B$14="LTV per Customer ($)",IF($B9&gt;0,Dashboard!$B$4*IF(Dashboard!$B$5=Dashboard!$B$6,28,((1-Dashboard!$B$5+Dashboard!$B$6)^28-1)/(Dashboard!$B$6-Dashboard!$B$5)),0),"")))))</f>
        <v>0.14094173421291775</v>
      </c>
      <c r="AE9" s="17">
        <f>IF(Dashboard!$B$14="Retention %",(1-Dashboard!$B$5)^28,IF(Dashboard!$B$14="MRR ($)",$B9*Dashboard!$B$4*(1-Dashboard!$B$5+Dashboard!$B$6)^28,IF(Dashboard!$B$14="Churned Customers",$B9*(1-(1-Dashboard!$B$5)^28),IF(Dashboard!$B$14="Cumulative Revenue ($)",$B9*Dashboard!$B$4*IF(Dashboard!$B$5=Dashboard!$B$6,29,((1-Dashboard!$B$5+Dashboard!$B$6)^29-1)/(Dashboard!$B$6-Dashboard!$B$5)),IF(Dashboard!$B$14="LTV per Customer ($)",IF($B9&gt;0,Dashboard!$B$4*IF(Dashboard!$B$5=Dashboard!$B$6,29,((1-Dashboard!$B$5+Dashboard!$B$6)^29-1)/(Dashboard!$B$6-Dashboard!$B$5)),0),"")))))</f>
        <v>0.1310758128180135</v>
      </c>
      <c r="AF9" s="17">
        <f>IF(Dashboard!$B$14="Retention %",(1-Dashboard!$B$5)^29,IF(Dashboard!$B$14="MRR ($)",$B9*Dashboard!$B$4*(1-Dashboard!$B$5+Dashboard!$B$6)^29,IF(Dashboard!$B$14="Churned Customers",$B9*(1-(1-Dashboard!$B$5)^29),IF(Dashboard!$B$14="Cumulative Revenue ($)",$B9*Dashboard!$B$4*IF(Dashboard!$B$5=Dashboard!$B$6,30,((1-Dashboard!$B$5+Dashboard!$B$6)^30-1)/(Dashboard!$B$6-Dashboard!$B$5)),IF(Dashboard!$B$14="LTV per Customer ($)",IF($B9&gt;0,Dashboard!$B$4*IF(Dashboard!$B$5=Dashboard!$B$6,30,((1-Dashboard!$B$5+Dashboard!$B$6)^30-1)/(Dashboard!$B$6-Dashboard!$B$5)),0),"")))))</f>
        <v>0.12190050592075255</v>
      </c>
      <c r="AG9" s="17"/>
      <c r="AH9" s="17"/>
      <c r="AI9" s="17"/>
      <c r="AJ9" s="17"/>
      <c r="AK9" s="17"/>
      <c r="AL9" s="22"/>
    </row>
    <row r="10" spans="1:38" x14ac:dyDescent="0.35">
      <c r="A10" s="40" t="s">
        <v>92</v>
      </c>
      <c r="B10" s="44">
        <v>1</v>
      </c>
      <c r="C10" s="46">
        <f>IF(Dashboard!$B$14="Retention %",1,IF(Dashboard!$B$14="MRR ($)",$B10*Dashboard!$B$4,IF(Dashboard!$B$14="Churned Customers",0,IF(Dashboard!$B$14="Cumulative Revenue ($)",$B10*Dashboard!$B$4,IF(Dashboard!$B$14="LTV per Customer ($)",IF($B10&gt;0,Dashboard!$B$4,0),"")))))</f>
        <v>1</v>
      </c>
      <c r="D10" s="36">
        <f>IF(Dashboard!$B$14="Retention %",(1-Dashboard!$B$5)^1,IF(Dashboard!$B$14="MRR ($)",$B10*Dashboard!$B$4*(1-Dashboard!$B$5+Dashboard!$B$6)^1,IF(Dashboard!$B$14="Churned Customers",$B10*(1-(1-Dashboard!$B$5)^1),IF(Dashboard!$B$14="Cumulative Revenue ($)",$B10*Dashboard!$B$4*IF(Dashboard!$B$5=Dashboard!$B$6,2,((1-Dashboard!$B$5+Dashboard!$B$6)^2-1)/(Dashboard!$B$6-Dashboard!$B$5)),IF(Dashboard!$B$14="LTV per Customer ($)",IF($B10&gt;0,Dashboard!$B$4*IF(Dashboard!$B$5=Dashboard!$B$6,2,((1-Dashboard!$B$5+Dashboard!$B$6)^2-1)/(Dashboard!$B$6-Dashboard!$B$5)),0),"")))))</f>
        <v>0.92999999999999994</v>
      </c>
      <c r="E10" s="36">
        <f>IF(Dashboard!$B$14="Retention %",(1-Dashboard!$B$5)^2,IF(Dashboard!$B$14="MRR ($)",$B10*Dashboard!$B$4*(1-Dashboard!$B$5+Dashboard!$B$6)^2,IF(Dashboard!$B$14="Churned Customers",$B10*(1-(1-Dashboard!$B$5)^2),IF(Dashboard!$B$14="Cumulative Revenue ($)",$B10*Dashboard!$B$4*IF(Dashboard!$B$5=Dashboard!$B$6,3,((1-Dashboard!$B$5+Dashboard!$B$6)^3-1)/(Dashboard!$B$6-Dashboard!$B$5)),IF(Dashboard!$B$14="LTV per Customer ($)",IF($B10&gt;0,Dashboard!$B$4*IF(Dashboard!$B$5=Dashboard!$B$6,3,((1-Dashboard!$B$5+Dashboard!$B$6)^3-1)/(Dashboard!$B$6-Dashboard!$B$5)),0),"")))))</f>
        <v>0.86489999999999989</v>
      </c>
      <c r="F10" s="36">
        <f>IF(Dashboard!$B$14="Retention %",(1-Dashboard!$B$5)^3,IF(Dashboard!$B$14="MRR ($)",$B10*Dashboard!$B$4*(1-Dashboard!$B$5+Dashboard!$B$6)^3,IF(Dashboard!$B$14="Churned Customers",$B10*(1-(1-Dashboard!$B$5)^3),IF(Dashboard!$B$14="Cumulative Revenue ($)",$B10*Dashboard!$B$4*IF(Dashboard!$B$5=Dashboard!$B$6,4,((1-Dashboard!$B$5+Dashboard!$B$6)^4-1)/(Dashboard!$B$6-Dashboard!$B$5)),IF(Dashboard!$B$14="LTV per Customer ($)",IF($B10&gt;0,Dashboard!$B$4*IF(Dashboard!$B$5=Dashboard!$B$6,4,((1-Dashboard!$B$5+Dashboard!$B$6)^4-1)/(Dashboard!$B$6-Dashboard!$B$5)),0),"")))))</f>
        <v>0.80435699999999988</v>
      </c>
      <c r="G10" s="36">
        <f>IF(Dashboard!$B$14="Retention %",(1-Dashboard!$B$5)^4,IF(Dashboard!$B$14="MRR ($)",$B10*Dashboard!$B$4*(1-Dashboard!$B$5+Dashboard!$B$6)^4,IF(Dashboard!$B$14="Churned Customers",$B10*(1-(1-Dashboard!$B$5)^4),IF(Dashboard!$B$14="Cumulative Revenue ($)",$B10*Dashboard!$B$4*IF(Dashboard!$B$5=Dashboard!$B$6,5,((1-Dashboard!$B$5+Dashboard!$B$6)^5-1)/(Dashboard!$B$6-Dashboard!$B$5)),IF(Dashboard!$B$14="LTV per Customer ($)",IF($B10&gt;0,Dashboard!$B$4*IF(Dashboard!$B$5=Dashboard!$B$6,5,((1-Dashboard!$B$5+Dashboard!$B$6)^5-1)/(Dashboard!$B$6-Dashboard!$B$5)),0),"")))))</f>
        <v>0.74805200999999977</v>
      </c>
      <c r="H10" s="36">
        <f>IF(Dashboard!$B$14="Retention %",(1-Dashboard!$B$5)^5,IF(Dashboard!$B$14="MRR ($)",$B10*Dashboard!$B$4*(1-Dashboard!$B$5+Dashboard!$B$6)^5,IF(Dashboard!$B$14="Churned Customers",$B10*(1-(1-Dashboard!$B$5)^5),IF(Dashboard!$B$14="Cumulative Revenue ($)",$B10*Dashboard!$B$4*IF(Dashboard!$B$5=Dashboard!$B$6,6,((1-Dashboard!$B$5+Dashboard!$B$6)^6-1)/(Dashboard!$B$6-Dashboard!$B$5)),IF(Dashboard!$B$14="LTV per Customer ($)",IF($B10&gt;0,Dashboard!$B$4*IF(Dashboard!$B$5=Dashboard!$B$6,6,((1-Dashboard!$B$5+Dashboard!$B$6)^6-1)/(Dashboard!$B$6-Dashboard!$B$5)),0),"")))))</f>
        <v>0.69568836929999978</v>
      </c>
      <c r="I10" s="36">
        <f>IF(Dashboard!$B$14="Retention %",(1-Dashboard!$B$5)^6,IF(Dashboard!$B$14="MRR ($)",$B10*Dashboard!$B$4*(1-Dashboard!$B$5+Dashboard!$B$6)^6,IF(Dashboard!$B$14="Churned Customers",$B10*(1-(1-Dashboard!$B$5)^6),IF(Dashboard!$B$14="Cumulative Revenue ($)",$B10*Dashboard!$B$4*IF(Dashboard!$B$5=Dashboard!$B$6,7,((1-Dashboard!$B$5+Dashboard!$B$6)^7-1)/(Dashboard!$B$6-Dashboard!$B$5)),IF(Dashboard!$B$14="LTV per Customer ($)",IF($B10&gt;0,Dashboard!$B$4*IF(Dashboard!$B$5=Dashboard!$B$6,7,((1-Dashboard!$B$5+Dashboard!$B$6)^7-1)/(Dashboard!$B$6-Dashboard!$B$5)),0),"")))))</f>
        <v>0.64699018344899972</v>
      </c>
      <c r="J10" s="36">
        <f>IF(Dashboard!$B$14="Retention %",(1-Dashboard!$B$5)^7,IF(Dashboard!$B$14="MRR ($)",$B10*Dashboard!$B$4*(1-Dashboard!$B$5+Dashboard!$B$6)^7,IF(Dashboard!$B$14="Churned Customers",$B10*(1-(1-Dashboard!$B$5)^7),IF(Dashboard!$B$14="Cumulative Revenue ($)",$B10*Dashboard!$B$4*IF(Dashboard!$B$5=Dashboard!$B$6,8,((1-Dashboard!$B$5+Dashboard!$B$6)^8-1)/(Dashboard!$B$6-Dashboard!$B$5)),IF(Dashboard!$B$14="LTV per Customer ($)",IF($B10&gt;0,Dashboard!$B$4*IF(Dashboard!$B$5=Dashboard!$B$6,8,((1-Dashboard!$B$5+Dashboard!$B$6)^8-1)/(Dashboard!$B$6-Dashboard!$B$5)),0),"")))))</f>
        <v>0.60170087060756972</v>
      </c>
      <c r="K10" s="36">
        <f>IF(Dashboard!$B$14="Retention %",(1-Dashboard!$B$5)^8,IF(Dashboard!$B$14="MRR ($)",$B10*Dashboard!$B$4*(1-Dashboard!$B$5+Dashboard!$B$6)^8,IF(Dashboard!$B$14="Churned Customers",$B10*(1-(1-Dashboard!$B$5)^8),IF(Dashboard!$B$14="Cumulative Revenue ($)",$B10*Dashboard!$B$4*IF(Dashboard!$B$5=Dashboard!$B$6,9,((1-Dashboard!$B$5+Dashboard!$B$6)^9-1)/(Dashboard!$B$6-Dashboard!$B$5)),IF(Dashboard!$B$14="LTV per Customer ($)",IF($B10&gt;0,Dashboard!$B$4*IF(Dashboard!$B$5=Dashboard!$B$6,9,((1-Dashboard!$B$5+Dashboard!$B$6)^9-1)/(Dashboard!$B$6-Dashboard!$B$5)),0),"")))))</f>
        <v>0.55958180966503979</v>
      </c>
      <c r="L10" s="36">
        <f>IF(Dashboard!$B$14="Retention %",(1-Dashboard!$B$5)^9,IF(Dashboard!$B$14="MRR ($)",$B10*Dashboard!$B$4*(1-Dashboard!$B$5+Dashboard!$B$6)^9,IF(Dashboard!$B$14="Churned Customers",$B10*(1-(1-Dashboard!$B$5)^9),IF(Dashboard!$B$14="Cumulative Revenue ($)",$B10*Dashboard!$B$4*IF(Dashboard!$B$5=Dashboard!$B$6,10,((1-Dashboard!$B$5+Dashboard!$B$6)^10-1)/(Dashboard!$B$6-Dashboard!$B$5)),IF(Dashboard!$B$14="LTV per Customer ($)",IF($B10&gt;0,Dashboard!$B$4*IF(Dashboard!$B$5=Dashboard!$B$6,10,((1-Dashboard!$B$5+Dashboard!$B$6)^10-1)/(Dashboard!$B$6-Dashboard!$B$5)),0),"")))))</f>
        <v>0.52041108298848693</v>
      </c>
      <c r="M10" s="16">
        <f>IF(Dashboard!$B$14="Retention %",(1-Dashboard!$B$5)^10,IF(Dashboard!$B$14="MRR ($)",$B10*Dashboard!$B$4*(1-Dashboard!$B$5+Dashboard!$B$6)^10,IF(Dashboard!$B$14="Churned Customers",$B10*(1-(1-Dashboard!$B$5)^10),IF(Dashboard!$B$14="Cumulative Revenue ($)",$B10*Dashboard!$B$4*IF(Dashboard!$B$5=Dashboard!$B$6,11,((1-Dashboard!$B$5+Dashboard!$B$6)^11-1)/(Dashboard!$B$6-Dashboard!$B$5)),IF(Dashboard!$B$14="LTV per Customer ($)",IF($B10&gt;0,Dashboard!$B$4*IF(Dashboard!$B$5=Dashboard!$B$6,11,((1-Dashboard!$B$5+Dashboard!$B$6)^11-1)/(Dashboard!$B$6-Dashboard!$B$5)),0),"")))))</f>
        <v>0.48398230717929286</v>
      </c>
      <c r="N10" s="16">
        <f>IF(Dashboard!$B$14="Retention %",(1-Dashboard!$B$5)^11,IF(Dashboard!$B$14="MRR ($)",$B10*Dashboard!$B$4*(1-Dashboard!$B$5+Dashboard!$B$6)^11,IF(Dashboard!$B$14="Churned Customers",$B10*(1-(1-Dashboard!$B$5)^11),IF(Dashboard!$B$14="Cumulative Revenue ($)",$B10*Dashboard!$B$4*IF(Dashboard!$B$5=Dashboard!$B$6,12,((1-Dashboard!$B$5+Dashboard!$B$6)^12-1)/(Dashboard!$B$6-Dashboard!$B$5)),IF(Dashboard!$B$14="LTV per Customer ($)",IF($B10&gt;0,Dashboard!$B$4*IF(Dashboard!$B$5=Dashboard!$B$6,12,((1-Dashboard!$B$5+Dashboard!$B$6)^12-1)/(Dashboard!$B$6-Dashboard!$B$5)),0),"")))))</f>
        <v>0.45010354567674232</v>
      </c>
      <c r="O10" s="16">
        <f>IF(Dashboard!$B$14="Retention %",(1-Dashboard!$B$5)^12,IF(Dashboard!$B$14="MRR ($)",$B10*Dashboard!$B$4*(1-Dashboard!$B$5+Dashboard!$B$6)^12,IF(Dashboard!$B$14="Churned Customers",$B10*(1-(1-Dashboard!$B$5)^12),IF(Dashboard!$B$14="Cumulative Revenue ($)",$B10*Dashboard!$B$4*IF(Dashboard!$B$5=Dashboard!$B$6,13,((1-Dashboard!$B$5+Dashboard!$B$6)^13-1)/(Dashboard!$B$6-Dashboard!$B$5)),IF(Dashboard!$B$14="LTV per Customer ($)",IF($B10&gt;0,Dashboard!$B$4*IF(Dashboard!$B$5=Dashboard!$B$6,13,((1-Dashboard!$B$5+Dashboard!$B$6)^13-1)/(Dashboard!$B$6-Dashboard!$B$5)),0),"")))))</f>
        <v>0.41859629747937033</v>
      </c>
      <c r="P10" s="16">
        <f>IF(Dashboard!$B$14="Retention %",(1-Dashboard!$B$5)^13,IF(Dashboard!$B$14="MRR ($)",$B10*Dashboard!$B$4*(1-Dashboard!$B$5+Dashboard!$B$6)^13,IF(Dashboard!$B$14="Churned Customers",$B10*(1-(1-Dashboard!$B$5)^13),IF(Dashboard!$B$14="Cumulative Revenue ($)",$B10*Dashboard!$B$4*IF(Dashboard!$B$5=Dashboard!$B$6,14,((1-Dashboard!$B$5+Dashboard!$B$6)^14-1)/(Dashboard!$B$6-Dashboard!$B$5)),IF(Dashboard!$B$14="LTV per Customer ($)",IF($B10&gt;0,Dashboard!$B$4*IF(Dashboard!$B$5=Dashboard!$B$6,14,((1-Dashboard!$B$5+Dashboard!$B$6)^14-1)/(Dashboard!$B$6-Dashboard!$B$5)),0),"")))))</f>
        <v>0.38929455665581436</v>
      </c>
      <c r="Q10" s="16">
        <f>IF(Dashboard!$B$14="Retention %",(1-Dashboard!$B$5)^14,IF(Dashboard!$B$14="MRR ($)",$B10*Dashboard!$B$4*(1-Dashboard!$B$5+Dashboard!$B$6)^14,IF(Dashboard!$B$14="Churned Customers",$B10*(1-(1-Dashboard!$B$5)^14),IF(Dashboard!$B$14="Cumulative Revenue ($)",$B10*Dashboard!$B$4*IF(Dashboard!$B$5=Dashboard!$B$6,15,((1-Dashboard!$B$5+Dashboard!$B$6)^15-1)/(Dashboard!$B$6-Dashboard!$B$5)),IF(Dashboard!$B$14="LTV per Customer ($)",IF($B10&gt;0,Dashboard!$B$4*IF(Dashboard!$B$5=Dashboard!$B$6,15,((1-Dashboard!$B$5+Dashboard!$B$6)^15-1)/(Dashboard!$B$6-Dashboard!$B$5)),0),"")))))</f>
        <v>0.36204393768990734</v>
      </c>
      <c r="R10" s="16">
        <f>IF(Dashboard!$B$14="Retention %",(1-Dashboard!$B$5)^15,IF(Dashboard!$B$14="MRR ($)",$B10*Dashboard!$B$4*(1-Dashboard!$B$5+Dashboard!$B$6)^15,IF(Dashboard!$B$14="Churned Customers",$B10*(1-(1-Dashboard!$B$5)^15),IF(Dashboard!$B$14="Cumulative Revenue ($)",$B10*Dashboard!$B$4*IF(Dashboard!$B$5=Dashboard!$B$6,16,((1-Dashboard!$B$5+Dashboard!$B$6)^16-1)/(Dashboard!$B$6-Dashboard!$B$5)),IF(Dashboard!$B$14="LTV per Customer ($)",IF($B10&gt;0,Dashboard!$B$4*IF(Dashboard!$B$5=Dashboard!$B$6,16,((1-Dashboard!$B$5+Dashboard!$B$6)^16-1)/(Dashboard!$B$6-Dashboard!$B$5)),0),"")))))</f>
        <v>0.33670086205161381</v>
      </c>
      <c r="S10" s="16">
        <f>IF(Dashboard!$B$14="Retention %",(1-Dashboard!$B$5)^16,IF(Dashboard!$B$14="MRR ($)",$B10*Dashboard!$B$4*(1-Dashboard!$B$5+Dashboard!$B$6)^16,IF(Dashboard!$B$14="Churned Customers",$B10*(1-(1-Dashboard!$B$5)^16),IF(Dashboard!$B$14="Cumulative Revenue ($)",$B10*Dashboard!$B$4*IF(Dashboard!$B$5=Dashboard!$B$6,17,((1-Dashboard!$B$5+Dashboard!$B$6)^17-1)/(Dashboard!$B$6-Dashboard!$B$5)),IF(Dashboard!$B$14="LTV per Customer ($)",IF($B10&gt;0,Dashboard!$B$4*IF(Dashboard!$B$5=Dashboard!$B$6,17,((1-Dashboard!$B$5+Dashboard!$B$6)^17-1)/(Dashboard!$B$6-Dashboard!$B$5)),0),"")))))</f>
        <v>0.31313180170800081</v>
      </c>
      <c r="T10" s="16">
        <f>IF(Dashboard!$B$14="Retention %",(1-Dashboard!$B$5)^17,IF(Dashboard!$B$14="MRR ($)",$B10*Dashboard!$B$4*(1-Dashboard!$B$5+Dashboard!$B$6)^17,IF(Dashboard!$B$14="Churned Customers",$B10*(1-(1-Dashboard!$B$5)^17),IF(Dashboard!$B$14="Cumulative Revenue ($)",$B10*Dashboard!$B$4*IF(Dashboard!$B$5=Dashboard!$B$6,18,((1-Dashboard!$B$5+Dashboard!$B$6)^18-1)/(Dashboard!$B$6-Dashboard!$B$5)),IF(Dashboard!$B$14="LTV per Customer ($)",IF($B10&gt;0,Dashboard!$B$4*IF(Dashboard!$B$5=Dashboard!$B$6,18,((1-Dashboard!$B$5+Dashboard!$B$6)^18-1)/(Dashboard!$B$6-Dashboard!$B$5)),0),"")))))</f>
        <v>0.29121257558844071</v>
      </c>
      <c r="U10" s="16">
        <f>IF(Dashboard!$B$14="Retention %",(1-Dashboard!$B$5)^18,IF(Dashboard!$B$14="MRR ($)",$B10*Dashboard!$B$4*(1-Dashboard!$B$5+Dashboard!$B$6)^18,IF(Dashboard!$B$14="Churned Customers",$B10*(1-(1-Dashboard!$B$5)^18),IF(Dashboard!$B$14="Cumulative Revenue ($)",$B10*Dashboard!$B$4*IF(Dashboard!$B$5=Dashboard!$B$6,19,((1-Dashboard!$B$5+Dashboard!$B$6)^19-1)/(Dashboard!$B$6-Dashboard!$B$5)),IF(Dashboard!$B$14="LTV per Customer ($)",IF($B10&gt;0,Dashboard!$B$4*IF(Dashboard!$B$5=Dashboard!$B$6,19,((1-Dashboard!$B$5+Dashboard!$B$6)^19-1)/(Dashboard!$B$6-Dashboard!$B$5)),0),"")))))</f>
        <v>0.27082769529724987</v>
      </c>
      <c r="V10" s="16">
        <f>IF(Dashboard!$B$14="Retention %",(1-Dashboard!$B$5)^19,IF(Dashboard!$B$14="MRR ($)",$B10*Dashboard!$B$4*(1-Dashboard!$B$5+Dashboard!$B$6)^19,IF(Dashboard!$B$14="Churned Customers",$B10*(1-(1-Dashboard!$B$5)^19),IF(Dashboard!$B$14="Cumulative Revenue ($)",$B10*Dashboard!$B$4*IF(Dashboard!$B$5=Dashboard!$B$6,20,((1-Dashboard!$B$5+Dashboard!$B$6)^20-1)/(Dashboard!$B$6-Dashboard!$B$5)),IF(Dashboard!$B$14="LTV per Customer ($)",IF($B10&gt;0,Dashboard!$B$4*IF(Dashboard!$B$5=Dashboard!$B$6,20,((1-Dashboard!$B$5+Dashboard!$B$6)^20-1)/(Dashboard!$B$6-Dashboard!$B$5)),0),"")))))</f>
        <v>0.2518697566264424</v>
      </c>
      <c r="W10" s="16">
        <f>IF(Dashboard!$B$14="Retention %",(1-Dashboard!$B$5)^20,IF(Dashboard!$B$14="MRR ($)",$B10*Dashboard!$B$4*(1-Dashboard!$B$5+Dashboard!$B$6)^20,IF(Dashboard!$B$14="Churned Customers",$B10*(1-(1-Dashboard!$B$5)^20),IF(Dashboard!$B$14="Cumulative Revenue ($)",$B10*Dashboard!$B$4*IF(Dashboard!$B$5=Dashboard!$B$6,21,((1-Dashboard!$B$5+Dashboard!$B$6)^21-1)/(Dashboard!$B$6-Dashboard!$B$5)),IF(Dashboard!$B$14="LTV per Customer ($)",IF($B10&gt;0,Dashboard!$B$4*IF(Dashboard!$B$5=Dashboard!$B$6,21,((1-Dashboard!$B$5+Dashboard!$B$6)^21-1)/(Dashboard!$B$6-Dashboard!$B$5)),0),"")))))</f>
        <v>0.23423887366259136</v>
      </c>
      <c r="X10" s="16">
        <f>IF(Dashboard!$B$14="Retention %",(1-Dashboard!$B$5)^21,IF(Dashboard!$B$14="MRR ($)",$B10*Dashboard!$B$4*(1-Dashboard!$B$5+Dashboard!$B$6)^21,IF(Dashboard!$B$14="Churned Customers",$B10*(1-(1-Dashboard!$B$5)^21),IF(Dashboard!$B$14="Cumulative Revenue ($)",$B10*Dashboard!$B$4*IF(Dashboard!$B$5=Dashboard!$B$6,22,((1-Dashboard!$B$5+Dashboard!$B$6)^22-1)/(Dashboard!$B$6-Dashboard!$B$5)),IF(Dashboard!$B$14="LTV per Customer ($)",IF($B10&gt;0,Dashboard!$B$4*IF(Dashboard!$B$5=Dashboard!$B$6,22,((1-Dashboard!$B$5+Dashboard!$B$6)^22-1)/(Dashboard!$B$6-Dashboard!$B$5)),0),"")))))</f>
        <v>0.21784215250620997</v>
      </c>
      <c r="Y10" s="16">
        <f>IF(Dashboard!$B$14="Retention %",(1-Dashboard!$B$5)^22,IF(Dashboard!$B$14="MRR ($)",$B10*Dashboard!$B$4*(1-Dashboard!$B$5+Dashboard!$B$6)^22,IF(Dashboard!$B$14="Churned Customers",$B10*(1-(1-Dashboard!$B$5)^22),IF(Dashboard!$B$14="Cumulative Revenue ($)",$B10*Dashboard!$B$4*IF(Dashboard!$B$5=Dashboard!$B$6,23,((1-Dashboard!$B$5+Dashboard!$B$6)^23-1)/(Dashboard!$B$6-Dashboard!$B$5)),IF(Dashboard!$B$14="LTV per Customer ($)",IF($B10&gt;0,Dashboard!$B$4*IF(Dashboard!$B$5=Dashboard!$B$6,23,((1-Dashboard!$B$5+Dashboard!$B$6)^23-1)/(Dashboard!$B$6-Dashboard!$B$5)),0),"")))))</f>
        <v>0.20259320183077525</v>
      </c>
      <c r="Z10" s="16">
        <f>IF(Dashboard!$B$14="Retention %",(1-Dashboard!$B$5)^23,IF(Dashboard!$B$14="MRR ($)",$B10*Dashboard!$B$4*(1-Dashboard!$B$5+Dashboard!$B$6)^23,IF(Dashboard!$B$14="Churned Customers",$B10*(1-(1-Dashboard!$B$5)^23),IF(Dashboard!$B$14="Cumulative Revenue ($)",$B10*Dashboard!$B$4*IF(Dashboard!$B$5=Dashboard!$B$6,24,((1-Dashboard!$B$5+Dashboard!$B$6)^24-1)/(Dashboard!$B$6-Dashboard!$B$5)),IF(Dashboard!$B$14="LTV per Customer ($)",IF($B10&gt;0,Dashboard!$B$4*IF(Dashboard!$B$5=Dashboard!$B$6,24,((1-Dashboard!$B$5+Dashboard!$B$6)^24-1)/(Dashboard!$B$6-Dashboard!$B$5)),0),"")))))</f>
        <v>0.18841167770262096</v>
      </c>
      <c r="AA10" s="16">
        <f>IF(Dashboard!$B$14="Retention %",(1-Dashboard!$B$5)^24,IF(Dashboard!$B$14="MRR ($)",$B10*Dashboard!$B$4*(1-Dashboard!$B$5+Dashboard!$B$6)^24,IF(Dashboard!$B$14="Churned Customers",$B10*(1-(1-Dashboard!$B$5)^24),IF(Dashboard!$B$14="Cumulative Revenue ($)",$B10*Dashboard!$B$4*IF(Dashboard!$B$5=Dashboard!$B$6,25,((1-Dashboard!$B$5+Dashboard!$B$6)^25-1)/(Dashboard!$B$6-Dashboard!$B$5)),IF(Dashboard!$B$14="LTV per Customer ($)",IF($B10&gt;0,Dashboard!$B$4*IF(Dashboard!$B$5=Dashboard!$B$6,25,((1-Dashboard!$B$5+Dashboard!$B$6)^25-1)/(Dashboard!$B$6-Dashboard!$B$5)),0),"")))))</f>
        <v>0.1752228602634375</v>
      </c>
      <c r="AB10" s="16">
        <f>IF(Dashboard!$B$14="Retention %",(1-Dashboard!$B$5)^25,IF(Dashboard!$B$14="MRR ($)",$B10*Dashboard!$B$4*(1-Dashboard!$B$5+Dashboard!$B$6)^25,IF(Dashboard!$B$14="Churned Customers",$B10*(1-(1-Dashboard!$B$5)^25),IF(Dashboard!$B$14="Cumulative Revenue ($)",$B10*Dashboard!$B$4*IF(Dashboard!$B$5=Dashboard!$B$6,26,((1-Dashboard!$B$5+Dashboard!$B$6)^26-1)/(Dashboard!$B$6-Dashboard!$B$5)),IF(Dashboard!$B$14="LTV per Customer ($)",IF($B10&gt;0,Dashboard!$B$4*IF(Dashboard!$B$5=Dashboard!$B$6,26,((1-Dashboard!$B$5+Dashboard!$B$6)^26-1)/(Dashboard!$B$6-Dashboard!$B$5)),0),"")))))</f>
        <v>0.16295726004499683</v>
      </c>
      <c r="AC10" s="16">
        <f>IF(Dashboard!$B$14="Retention %",(1-Dashboard!$B$5)^26,IF(Dashboard!$B$14="MRR ($)",$B10*Dashboard!$B$4*(1-Dashboard!$B$5+Dashboard!$B$6)^26,IF(Dashboard!$B$14="Churned Customers",$B10*(1-(1-Dashboard!$B$5)^26),IF(Dashboard!$B$14="Cumulative Revenue ($)",$B10*Dashboard!$B$4*IF(Dashboard!$B$5=Dashboard!$B$6,27,((1-Dashboard!$B$5+Dashboard!$B$6)^27-1)/(Dashboard!$B$6-Dashboard!$B$5)),IF(Dashboard!$B$14="LTV per Customer ($)",IF($B10&gt;0,Dashboard!$B$4*IF(Dashboard!$B$5=Dashboard!$B$6,27,((1-Dashboard!$B$5+Dashboard!$B$6)^27-1)/(Dashboard!$B$6-Dashboard!$B$5)),0),"")))))</f>
        <v>0.15155025184184706</v>
      </c>
      <c r="AD10" s="16">
        <f>IF(Dashboard!$B$14="Retention %",(1-Dashboard!$B$5)^27,IF(Dashboard!$B$14="MRR ($)",$B10*Dashboard!$B$4*(1-Dashboard!$B$5+Dashboard!$B$6)^27,IF(Dashboard!$B$14="Churned Customers",$B10*(1-(1-Dashboard!$B$5)^27),IF(Dashboard!$B$14="Cumulative Revenue ($)",$B10*Dashboard!$B$4*IF(Dashboard!$B$5=Dashboard!$B$6,28,((1-Dashboard!$B$5+Dashboard!$B$6)^28-1)/(Dashboard!$B$6-Dashboard!$B$5)),IF(Dashboard!$B$14="LTV per Customer ($)",IF($B10&gt;0,Dashboard!$B$4*IF(Dashboard!$B$5=Dashboard!$B$6,28,((1-Dashboard!$B$5+Dashboard!$B$6)^28-1)/(Dashboard!$B$6-Dashboard!$B$5)),0),"")))))</f>
        <v>0.14094173421291775</v>
      </c>
      <c r="AE10" s="16">
        <f>IF(Dashboard!$B$14="Retention %",(1-Dashboard!$B$5)^28,IF(Dashboard!$B$14="MRR ($)",$B10*Dashboard!$B$4*(1-Dashboard!$B$5+Dashboard!$B$6)^28,IF(Dashboard!$B$14="Churned Customers",$B10*(1-(1-Dashboard!$B$5)^28),IF(Dashboard!$B$14="Cumulative Revenue ($)",$B10*Dashboard!$B$4*IF(Dashboard!$B$5=Dashboard!$B$6,29,((1-Dashboard!$B$5+Dashboard!$B$6)^29-1)/(Dashboard!$B$6-Dashboard!$B$5)),IF(Dashboard!$B$14="LTV per Customer ($)",IF($B10&gt;0,Dashboard!$B$4*IF(Dashboard!$B$5=Dashboard!$B$6,29,((1-Dashboard!$B$5+Dashboard!$B$6)^29-1)/(Dashboard!$B$6-Dashboard!$B$5)),0),"")))))</f>
        <v>0.1310758128180135</v>
      </c>
      <c r="AF10" s="16"/>
      <c r="AG10" s="16"/>
      <c r="AH10" s="16"/>
      <c r="AI10" s="16"/>
      <c r="AJ10" s="16"/>
      <c r="AK10" s="16"/>
      <c r="AL10" s="21"/>
    </row>
    <row r="11" spans="1:38" x14ac:dyDescent="0.35">
      <c r="A11" s="40" t="s">
        <v>93</v>
      </c>
      <c r="B11" s="44">
        <v>1</v>
      </c>
      <c r="C11" s="46">
        <f>IF(Dashboard!$B$14="Retention %",1,IF(Dashboard!$B$14="MRR ($)",$B11*Dashboard!$B$4,IF(Dashboard!$B$14="Churned Customers",0,IF(Dashboard!$B$14="Cumulative Revenue ($)",$B11*Dashboard!$B$4,IF(Dashboard!$B$14="LTV per Customer ($)",IF($B11&gt;0,Dashboard!$B$4,0),"")))))</f>
        <v>1</v>
      </c>
      <c r="D11" s="37">
        <f>IF(Dashboard!$B$14="Retention %",(1-Dashboard!$B$5)^1,IF(Dashboard!$B$14="MRR ($)",$B11*Dashboard!$B$4*(1-Dashboard!$B$5+Dashboard!$B$6)^1,IF(Dashboard!$B$14="Churned Customers",$B11*(1-(1-Dashboard!$B$5)^1),IF(Dashboard!$B$14="Cumulative Revenue ($)",$B11*Dashboard!$B$4*IF(Dashboard!$B$5=Dashboard!$B$6,2,((1-Dashboard!$B$5+Dashboard!$B$6)^2-1)/(Dashboard!$B$6-Dashboard!$B$5)),IF(Dashboard!$B$14="LTV per Customer ($)",IF($B11&gt;0,Dashboard!$B$4*IF(Dashboard!$B$5=Dashboard!$B$6,2,((1-Dashboard!$B$5+Dashboard!$B$6)^2-1)/(Dashboard!$B$6-Dashboard!$B$5)),0),"")))))</f>
        <v>0.92999999999999994</v>
      </c>
      <c r="E11" s="37">
        <f>IF(Dashboard!$B$14="Retention %",(1-Dashboard!$B$5)^2,IF(Dashboard!$B$14="MRR ($)",$B11*Dashboard!$B$4*(1-Dashboard!$B$5+Dashboard!$B$6)^2,IF(Dashboard!$B$14="Churned Customers",$B11*(1-(1-Dashboard!$B$5)^2),IF(Dashboard!$B$14="Cumulative Revenue ($)",$B11*Dashboard!$B$4*IF(Dashboard!$B$5=Dashboard!$B$6,3,((1-Dashboard!$B$5+Dashboard!$B$6)^3-1)/(Dashboard!$B$6-Dashboard!$B$5)),IF(Dashboard!$B$14="LTV per Customer ($)",IF($B11&gt;0,Dashboard!$B$4*IF(Dashboard!$B$5=Dashboard!$B$6,3,((1-Dashboard!$B$5+Dashboard!$B$6)^3-1)/(Dashboard!$B$6-Dashboard!$B$5)),0),"")))))</f>
        <v>0.86489999999999989</v>
      </c>
      <c r="F11" s="37">
        <f>IF(Dashboard!$B$14="Retention %",(1-Dashboard!$B$5)^3,IF(Dashboard!$B$14="MRR ($)",$B11*Dashboard!$B$4*(1-Dashboard!$B$5+Dashboard!$B$6)^3,IF(Dashboard!$B$14="Churned Customers",$B11*(1-(1-Dashboard!$B$5)^3),IF(Dashboard!$B$14="Cumulative Revenue ($)",$B11*Dashboard!$B$4*IF(Dashboard!$B$5=Dashboard!$B$6,4,((1-Dashboard!$B$5+Dashboard!$B$6)^4-1)/(Dashboard!$B$6-Dashboard!$B$5)),IF(Dashboard!$B$14="LTV per Customer ($)",IF($B11&gt;0,Dashboard!$B$4*IF(Dashboard!$B$5=Dashboard!$B$6,4,((1-Dashboard!$B$5+Dashboard!$B$6)^4-1)/(Dashboard!$B$6-Dashboard!$B$5)),0),"")))))</f>
        <v>0.80435699999999988</v>
      </c>
      <c r="G11" s="37">
        <f>IF(Dashboard!$B$14="Retention %",(1-Dashboard!$B$5)^4,IF(Dashboard!$B$14="MRR ($)",$B11*Dashboard!$B$4*(1-Dashboard!$B$5+Dashboard!$B$6)^4,IF(Dashboard!$B$14="Churned Customers",$B11*(1-(1-Dashboard!$B$5)^4),IF(Dashboard!$B$14="Cumulative Revenue ($)",$B11*Dashboard!$B$4*IF(Dashboard!$B$5=Dashboard!$B$6,5,((1-Dashboard!$B$5+Dashboard!$B$6)^5-1)/(Dashboard!$B$6-Dashboard!$B$5)),IF(Dashboard!$B$14="LTV per Customer ($)",IF($B11&gt;0,Dashboard!$B$4*IF(Dashboard!$B$5=Dashboard!$B$6,5,((1-Dashboard!$B$5+Dashboard!$B$6)^5-1)/(Dashboard!$B$6-Dashboard!$B$5)),0),"")))))</f>
        <v>0.74805200999999977</v>
      </c>
      <c r="H11" s="37">
        <f>IF(Dashboard!$B$14="Retention %",(1-Dashboard!$B$5)^5,IF(Dashboard!$B$14="MRR ($)",$B11*Dashboard!$B$4*(1-Dashboard!$B$5+Dashboard!$B$6)^5,IF(Dashboard!$B$14="Churned Customers",$B11*(1-(1-Dashboard!$B$5)^5),IF(Dashboard!$B$14="Cumulative Revenue ($)",$B11*Dashboard!$B$4*IF(Dashboard!$B$5=Dashboard!$B$6,6,((1-Dashboard!$B$5+Dashboard!$B$6)^6-1)/(Dashboard!$B$6-Dashboard!$B$5)),IF(Dashboard!$B$14="LTV per Customer ($)",IF($B11&gt;0,Dashboard!$B$4*IF(Dashboard!$B$5=Dashboard!$B$6,6,((1-Dashboard!$B$5+Dashboard!$B$6)^6-1)/(Dashboard!$B$6-Dashboard!$B$5)),0),"")))))</f>
        <v>0.69568836929999978</v>
      </c>
      <c r="I11" s="37">
        <f>IF(Dashboard!$B$14="Retention %",(1-Dashboard!$B$5)^6,IF(Dashboard!$B$14="MRR ($)",$B11*Dashboard!$B$4*(1-Dashboard!$B$5+Dashboard!$B$6)^6,IF(Dashboard!$B$14="Churned Customers",$B11*(1-(1-Dashboard!$B$5)^6),IF(Dashboard!$B$14="Cumulative Revenue ($)",$B11*Dashboard!$B$4*IF(Dashboard!$B$5=Dashboard!$B$6,7,((1-Dashboard!$B$5+Dashboard!$B$6)^7-1)/(Dashboard!$B$6-Dashboard!$B$5)),IF(Dashboard!$B$14="LTV per Customer ($)",IF($B11&gt;0,Dashboard!$B$4*IF(Dashboard!$B$5=Dashboard!$B$6,7,((1-Dashboard!$B$5+Dashboard!$B$6)^7-1)/(Dashboard!$B$6-Dashboard!$B$5)),0),"")))))</f>
        <v>0.64699018344899972</v>
      </c>
      <c r="J11" s="37">
        <f>IF(Dashboard!$B$14="Retention %",(1-Dashboard!$B$5)^7,IF(Dashboard!$B$14="MRR ($)",$B11*Dashboard!$B$4*(1-Dashboard!$B$5+Dashboard!$B$6)^7,IF(Dashboard!$B$14="Churned Customers",$B11*(1-(1-Dashboard!$B$5)^7),IF(Dashboard!$B$14="Cumulative Revenue ($)",$B11*Dashboard!$B$4*IF(Dashboard!$B$5=Dashboard!$B$6,8,((1-Dashboard!$B$5+Dashboard!$B$6)^8-1)/(Dashboard!$B$6-Dashboard!$B$5)),IF(Dashboard!$B$14="LTV per Customer ($)",IF($B11&gt;0,Dashboard!$B$4*IF(Dashboard!$B$5=Dashboard!$B$6,8,((1-Dashboard!$B$5+Dashboard!$B$6)^8-1)/(Dashboard!$B$6-Dashboard!$B$5)),0),"")))))</f>
        <v>0.60170087060756972</v>
      </c>
      <c r="K11" s="37">
        <f>IF(Dashboard!$B$14="Retention %",(1-Dashboard!$B$5)^8,IF(Dashboard!$B$14="MRR ($)",$B11*Dashboard!$B$4*(1-Dashboard!$B$5+Dashboard!$B$6)^8,IF(Dashboard!$B$14="Churned Customers",$B11*(1-(1-Dashboard!$B$5)^8),IF(Dashboard!$B$14="Cumulative Revenue ($)",$B11*Dashboard!$B$4*IF(Dashboard!$B$5=Dashboard!$B$6,9,((1-Dashboard!$B$5+Dashboard!$B$6)^9-1)/(Dashboard!$B$6-Dashboard!$B$5)),IF(Dashboard!$B$14="LTV per Customer ($)",IF($B11&gt;0,Dashboard!$B$4*IF(Dashboard!$B$5=Dashboard!$B$6,9,((1-Dashboard!$B$5+Dashboard!$B$6)^9-1)/(Dashboard!$B$6-Dashboard!$B$5)),0),"")))))</f>
        <v>0.55958180966503979</v>
      </c>
      <c r="L11" s="37">
        <f>IF(Dashboard!$B$14="Retention %",(1-Dashboard!$B$5)^9,IF(Dashboard!$B$14="MRR ($)",$B11*Dashboard!$B$4*(1-Dashboard!$B$5+Dashboard!$B$6)^9,IF(Dashboard!$B$14="Churned Customers",$B11*(1-(1-Dashboard!$B$5)^9),IF(Dashboard!$B$14="Cumulative Revenue ($)",$B11*Dashboard!$B$4*IF(Dashboard!$B$5=Dashboard!$B$6,10,((1-Dashboard!$B$5+Dashboard!$B$6)^10-1)/(Dashboard!$B$6-Dashboard!$B$5)),IF(Dashboard!$B$14="LTV per Customer ($)",IF($B11&gt;0,Dashboard!$B$4*IF(Dashboard!$B$5=Dashboard!$B$6,10,((1-Dashboard!$B$5+Dashboard!$B$6)^10-1)/(Dashboard!$B$6-Dashboard!$B$5)),0),"")))))</f>
        <v>0.52041108298848693</v>
      </c>
      <c r="M11" s="17">
        <f>IF(Dashboard!$B$14="Retention %",(1-Dashboard!$B$5)^10,IF(Dashboard!$B$14="MRR ($)",$B11*Dashboard!$B$4*(1-Dashboard!$B$5+Dashboard!$B$6)^10,IF(Dashboard!$B$14="Churned Customers",$B11*(1-(1-Dashboard!$B$5)^10),IF(Dashboard!$B$14="Cumulative Revenue ($)",$B11*Dashboard!$B$4*IF(Dashboard!$B$5=Dashboard!$B$6,11,((1-Dashboard!$B$5+Dashboard!$B$6)^11-1)/(Dashboard!$B$6-Dashboard!$B$5)),IF(Dashboard!$B$14="LTV per Customer ($)",IF($B11&gt;0,Dashboard!$B$4*IF(Dashboard!$B$5=Dashboard!$B$6,11,((1-Dashboard!$B$5+Dashboard!$B$6)^11-1)/(Dashboard!$B$6-Dashboard!$B$5)),0),"")))))</f>
        <v>0.48398230717929286</v>
      </c>
      <c r="N11" s="17">
        <f>IF(Dashboard!$B$14="Retention %",(1-Dashboard!$B$5)^11,IF(Dashboard!$B$14="MRR ($)",$B11*Dashboard!$B$4*(1-Dashboard!$B$5+Dashboard!$B$6)^11,IF(Dashboard!$B$14="Churned Customers",$B11*(1-(1-Dashboard!$B$5)^11),IF(Dashboard!$B$14="Cumulative Revenue ($)",$B11*Dashboard!$B$4*IF(Dashboard!$B$5=Dashboard!$B$6,12,((1-Dashboard!$B$5+Dashboard!$B$6)^12-1)/(Dashboard!$B$6-Dashboard!$B$5)),IF(Dashboard!$B$14="LTV per Customer ($)",IF($B11&gt;0,Dashboard!$B$4*IF(Dashboard!$B$5=Dashboard!$B$6,12,((1-Dashboard!$B$5+Dashboard!$B$6)^12-1)/(Dashboard!$B$6-Dashboard!$B$5)),0),"")))))</f>
        <v>0.45010354567674232</v>
      </c>
      <c r="O11" s="17">
        <f>IF(Dashboard!$B$14="Retention %",(1-Dashboard!$B$5)^12,IF(Dashboard!$B$14="MRR ($)",$B11*Dashboard!$B$4*(1-Dashboard!$B$5+Dashboard!$B$6)^12,IF(Dashboard!$B$14="Churned Customers",$B11*(1-(1-Dashboard!$B$5)^12),IF(Dashboard!$B$14="Cumulative Revenue ($)",$B11*Dashboard!$B$4*IF(Dashboard!$B$5=Dashboard!$B$6,13,((1-Dashboard!$B$5+Dashboard!$B$6)^13-1)/(Dashboard!$B$6-Dashboard!$B$5)),IF(Dashboard!$B$14="LTV per Customer ($)",IF($B11&gt;0,Dashboard!$B$4*IF(Dashboard!$B$5=Dashboard!$B$6,13,((1-Dashboard!$B$5+Dashboard!$B$6)^13-1)/(Dashboard!$B$6-Dashboard!$B$5)),0),"")))))</f>
        <v>0.41859629747937033</v>
      </c>
      <c r="P11" s="17">
        <f>IF(Dashboard!$B$14="Retention %",(1-Dashboard!$B$5)^13,IF(Dashboard!$B$14="MRR ($)",$B11*Dashboard!$B$4*(1-Dashboard!$B$5+Dashboard!$B$6)^13,IF(Dashboard!$B$14="Churned Customers",$B11*(1-(1-Dashboard!$B$5)^13),IF(Dashboard!$B$14="Cumulative Revenue ($)",$B11*Dashboard!$B$4*IF(Dashboard!$B$5=Dashboard!$B$6,14,((1-Dashboard!$B$5+Dashboard!$B$6)^14-1)/(Dashboard!$B$6-Dashboard!$B$5)),IF(Dashboard!$B$14="LTV per Customer ($)",IF($B11&gt;0,Dashboard!$B$4*IF(Dashboard!$B$5=Dashboard!$B$6,14,((1-Dashboard!$B$5+Dashboard!$B$6)^14-1)/(Dashboard!$B$6-Dashboard!$B$5)),0),"")))))</f>
        <v>0.38929455665581436</v>
      </c>
      <c r="Q11" s="17">
        <f>IF(Dashboard!$B$14="Retention %",(1-Dashboard!$B$5)^14,IF(Dashboard!$B$14="MRR ($)",$B11*Dashboard!$B$4*(1-Dashboard!$B$5+Dashboard!$B$6)^14,IF(Dashboard!$B$14="Churned Customers",$B11*(1-(1-Dashboard!$B$5)^14),IF(Dashboard!$B$14="Cumulative Revenue ($)",$B11*Dashboard!$B$4*IF(Dashboard!$B$5=Dashboard!$B$6,15,((1-Dashboard!$B$5+Dashboard!$B$6)^15-1)/(Dashboard!$B$6-Dashboard!$B$5)),IF(Dashboard!$B$14="LTV per Customer ($)",IF($B11&gt;0,Dashboard!$B$4*IF(Dashboard!$B$5=Dashboard!$B$6,15,((1-Dashboard!$B$5+Dashboard!$B$6)^15-1)/(Dashboard!$B$6-Dashboard!$B$5)),0),"")))))</f>
        <v>0.36204393768990734</v>
      </c>
      <c r="R11" s="17">
        <f>IF(Dashboard!$B$14="Retention %",(1-Dashboard!$B$5)^15,IF(Dashboard!$B$14="MRR ($)",$B11*Dashboard!$B$4*(1-Dashboard!$B$5+Dashboard!$B$6)^15,IF(Dashboard!$B$14="Churned Customers",$B11*(1-(1-Dashboard!$B$5)^15),IF(Dashboard!$B$14="Cumulative Revenue ($)",$B11*Dashboard!$B$4*IF(Dashboard!$B$5=Dashboard!$B$6,16,((1-Dashboard!$B$5+Dashboard!$B$6)^16-1)/(Dashboard!$B$6-Dashboard!$B$5)),IF(Dashboard!$B$14="LTV per Customer ($)",IF($B11&gt;0,Dashboard!$B$4*IF(Dashboard!$B$5=Dashboard!$B$6,16,((1-Dashboard!$B$5+Dashboard!$B$6)^16-1)/(Dashboard!$B$6-Dashboard!$B$5)),0),"")))))</f>
        <v>0.33670086205161381</v>
      </c>
      <c r="S11" s="17">
        <f>IF(Dashboard!$B$14="Retention %",(1-Dashboard!$B$5)^16,IF(Dashboard!$B$14="MRR ($)",$B11*Dashboard!$B$4*(1-Dashboard!$B$5+Dashboard!$B$6)^16,IF(Dashboard!$B$14="Churned Customers",$B11*(1-(1-Dashboard!$B$5)^16),IF(Dashboard!$B$14="Cumulative Revenue ($)",$B11*Dashboard!$B$4*IF(Dashboard!$B$5=Dashboard!$B$6,17,((1-Dashboard!$B$5+Dashboard!$B$6)^17-1)/(Dashboard!$B$6-Dashboard!$B$5)),IF(Dashboard!$B$14="LTV per Customer ($)",IF($B11&gt;0,Dashboard!$B$4*IF(Dashboard!$B$5=Dashboard!$B$6,17,((1-Dashboard!$B$5+Dashboard!$B$6)^17-1)/(Dashboard!$B$6-Dashboard!$B$5)),0),"")))))</f>
        <v>0.31313180170800081</v>
      </c>
      <c r="T11" s="17">
        <f>IF(Dashboard!$B$14="Retention %",(1-Dashboard!$B$5)^17,IF(Dashboard!$B$14="MRR ($)",$B11*Dashboard!$B$4*(1-Dashboard!$B$5+Dashboard!$B$6)^17,IF(Dashboard!$B$14="Churned Customers",$B11*(1-(1-Dashboard!$B$5)^17),IF(Dashboard!$B$14="Cumulative Revenue ($)",$B11*Dashboard!$B$4*IF(Dashboard!$B$5=Dashboard!$B$6,18,((1-Dashboard!$B$5+Dashboard!$B$6)^18-1)/(Dashboard!$B$6-Dashboard!$B$5)),IF(Dashboard!$B$14="LTV per Customer ($)",IF($B11&gt;0,Dashboard!$B$4*IF(Dashboard!$B$5=Dashboard!$B$6,18,((1-Dashboard!$B$5+Dashboard!$B$6)^18-1)/(Dashboard!$B$6-Dashboard!$B$5)),0),"")))))</f>
        <v>0.29121257558844071</v>
      </c>
      <c r="U11" s="17">
        <f>IF(Dashboard!$B$14="Retention %",(1-Dashboard!$B$5)^18,IF(Dashboard!$B$14="MRR ($)",$B11*Dashboard!$B$4*(1-Dashboard!$B$5+Dashboard!$B$6)^18,IF(Dashboard!$B$14="Churned Customers",$B11*(1-(1-Dashboard!$B$5)^18),IF(Dashboard!$B$14="Cumulative Revenue ($)",$B11*Dashboard!$B$4*IF(Dashboard!$B$5=Dashboard!$B$6,19,((1-Dashboard!$B$5+Dashboard!$B$6)^19-1)/(Dashboard!$B$6-Dashboard!$B$5)),IF(Dashboard!$B$14="LTV per Customer ($)",IF($B11&gt;0,Dashboard!$B$4*IF(Dashboard!$B$5=Dashboard!$B$6,19,((1-Dashboard!$B$5+Dashboard!$B$6)^19-1)/(Dashboard!$B$6-Dashboard!$B$5)),0),"")))))</f>
        <v>0.27082769529724987</v>
      </c>
      <c r="V11" s="17">
        <f>IF(Dashboard!$B$14="Retention %",(1-Dashboard!$B$5)^19,IF(Dashboard!$B$14="MRR ($)",$B11*Dashboard!$B$4*(1-Dashboard!$B$5+Dashboard!$B$6)^19,IF(Dashboard!$B$14="Churned Customers",$B11*(1-(1-Dashboard!$B$5)^19),IF(Dashboard!$B$14="Cumulative Revenue ($)",$B11*Dashboard!$B$4*IF(Dashboard!$B$5=Dashboard!$B$6,20,((1-Dashboard!$B$5+Dashboard!$B$6)^20-1)/(Dashboard!$B$6-Dashboard!$B$5)),IF(Dashboard!$B$14="LTV per Customer ($)",IF($B11&gt;0,Dashboard!$B$4*IF(Dashboard!$B$5=Dashboard!$B$6,20,((1-Dashboard!$B$5+Dashboard!$B$6)^20-1)/(Dashboard!$B$6-Dashboard!$B$5)),0),"")))))</f>
        <v>0.2518697566264424</v>
      </c>
      <c r="W11" s="17">
        <f>IF(Dashboard!$B$14="Retention %",(1-Dashboard!$B$5)^20,IF(Dashboard!$B$14="MRR ($)",$B11*Dashboard!$B$4*(1-Dashboard!$B$5+Dashboard!$B$6)^20,IF(Dashboard!$B$14="Churned Customers",$B11*(1-(1-Dashboard!$B$5)^20),IF(Dashboard!$B$14="Cumulative Revenue ($)",$B11*Dashboard!$B$4*IF(Dashboard!$B$5=Dashboard!$B$6,21,((1-Dashboard!$B$5+Dashboard!$B$6)^21-1)/(Dashboard!$B$6-Dashboard!$B$5)),IF(Dashboard!$B$14="LTV per Customer ($)",IF($B11&gt;0,Dashboard!$B$4*IF(Dashboard!$B$5=Dashboard!$B$6,21,((1-Dashboard!$B$5+Dashboard!$B$6)^21-1)/(Dashboard!$B$6-Dashboard!$B$5)),0),"")))))</f>
        <v>0.23423887366259136</v>
      </c>
      <c r="X11" s="17">
        <f>IF(Dashboard!$B$14="Retention %",(1-Dashboard!$B$5)^21,IF(Dashboard!$B$14="MRR ($)",$B11*Dashboard!$B$4*(1-Dashboard!$B$5+Dashboard!$B$6)^21,IF(Dashboard!$B$14="Churned Customers",$B11*(1-(1-Dashboard!$B$5)^21),IF(Dashboard!$B$14="Cumulative Revenue ($)",$B11*Dashboard!$B$4*IF(Dashboard!$B$5=Dashboard!$B$6,22,((1-Dashboard!$B$5+Dashboard!$B$6)^22-1)/(Dashboard!$B$6-Dashboard!$B$5)),IF(Dashboard!$B$14="LTV per Customer ($)",IF($B11&gt;0,Dashboard!$B$4*IF(Dashboard!$B$5=Dashboard!$B$6,22,((1-Dashboard!$B$5+Dashboard!$B$6)^22-1)/(Dashboard!$B$6-Dashboard!$B$5)),0),"")))))</f>
        <v>0.21784215250620997</v>
      </c>
      <c r="Y11" s="17">
        <f>IF(Dashboard!$B$14="Retention %",(1-Dashboard!$B$5)^22,IF(Dashboard!$B$14="MRR ($)",$B11*Dashboard!$B$4*(1-Dashboard!$B$5+Dashboard!$B$6)^22,IF(Dashboard!$B$14="Churned Customers",$B11*(1-(1-Dashboard!$B$5)^22),IF(Dashboard!$B$14="Cumulative Revenue ($)",$B11*Dashboard!$B$4*IF(Dashboard!$B$5=Dashboard!$B$6,23,((1-Dashboard!$B$5+Dashboard!$B$6)^23-1)/(Dashboard!$B$6-Dashboard!$B$5)),IF(Dashboard!$B$14="LTV per Customer ($)",IF($B11&gt;0,Dashboard!$B$4*IF(Dashboard!$B$5=Dashboard!$B$6,23,((1-Dashboard!$B$5+Dashboard!$B$6)^23-1)/(Dashboard!$B$6-Dashboard!$B$5)),0),"")))))</f>
        <v>0.20259320183077525</v>
      </c>
      <c r="Z11" s="17">
        <f>IF(Dashboard!$B$14="Retention %",(1-Dashboard!$B$5)^23,IF(Dashboard!$B$14="MRR ($)",$B11*Dashboard!$B$4*(1-Dashboard!$B$5+Dashboard!$B$6)^23,IF(Dashboard!$B$14="Churned Customers",$B11*(1-(1-Dashboard!$B$5)^23),IF(Dashboard!$B$14="Cumulative Revenue ($)",$B11*Dashboard!$B$4*IF(Dashboard!$B$5=Dashboard!$B$6,24,((1-Dashboard!$B$5+Dashboard!$B$6)^24-1)/(Dashboard!$B$6-Dashboard!$B$5)),IF(Dashboard!$B$14="LTV per Customer ($)",IF($B11&gt;0,Dashboard!$B$4*IF(Dashboard!$B$5=Dashboard!$B$6,24,((1-Dashboard!$B$5+Dashboard!$B$6)^24-1)/(Dashboard!$B$6-Dashboard!$B$5)),0),"")))))</f>
        <v>0.18841167770262096</v>
      </c>
      <c r="AA11" s="17">
        <f>IF(Dashboard!$B$14="Retention %",(1-Dashboard!$B$5)^24,IF(Dashboard!$B$14="MRR ($)",$B11*Dashboard!$B$4*(1-Dashboard!$B$5+Dashboard!$B$6)^24,IF(Dashboard!$B$14="Churned Customers",$B11*(1-(1-Dashboard!$B$5)^24),IF(Dashboard!$B$14="Cumulative Revenue ($)",$B11*Dashboard!$B$4*IF(Dashboard!$B$5=Dashboard!$B$6,25,((1-Dashboard!$B$5+Dashboard!$B$6)^25-1)/(Dashboard!$B$6-Dashboard!$B$5)),IF(Dashboard!$B$14="LTV per Customer ($)",IF($B11&gt;0,Dashboard!$B$4*IF(Dashboard!$B$5=Dashboard!$B$6,25,((1-Dashboard!$B$5+Dashboard!$B$6)^25-1)/(Dashboard!$B$6-Dashboard!$B$5)),0),"")))))</f>
        <v>0.1752228602634375</v>
      </c>
      <c r="AB11" s="17">
        <f>IF(Dashboard!$B$14="Retention %",(1-Dashboard!$B$5)^25,IF(Dashboard!$B$14="MRR ($)",$B11*Dashboard!$B$4*(1-Dashboard!$B$5+Dashboard!$B$6)^25,IF(Dashboard!$B$14="Churned Customers",$B11*(1-(1-Dashboard!$B$5)^25),IF(Dashboard!$B$14="Cumulative Revenue ($)",$B11*Dashboard!$B$4*IF(Dashboard!$B$5=Dashboard!$B$6,26,((1-Dashboard!$B$5+Dashboard!$B$6)^26-1)/(Dashboard!$B$6-Dashboard!$B$5)),IF(Dashboard!$B$14="LTV per Customer ($)",IF($B11&gt;0,Dashboard!$B$4*IF(Dashboard!$B$5=Dashboard!$B$6,26,((1-Dashboard!$B$5+Dashboard!$B$6)^26-1)/(Dashboard!$B$6-Dashboard!$B$5)),0),"")))))</f>
        <v>0.16295726004499683</v>
      </c>
      <c r="AC11" s="17">
        <f>IF(Dashboard!$B$14="Retention %",(1-Dashboard!$B$5)^26,IF(Dashboard!$B$14="MRR ($)",$B11*Dashboard!$B$4*(1-Dashboard!$B$5+Dashboard!$B$6)^26,IF(Dashboard!$B$14="Churned Customers",$B11*(1-(1-Dashboard!$B$5)^26),IF(Dashboard!$B$14="Cumulative Revenue ($)",$B11*Dashboard!$B$4*IF(Dashboard!$B$5=Dashboard!$B$6,27,((1-Dashboard!$B$5+Dashboard!$B$6)^27-1)/(Dashboard!$B$6-Dashboard!$B$5)),IF(Dashboard!$B$14="LTV per Customer ($)",IF($B11&gt;0,Dashboard!$B$4*IF(Dashboard!$B$5=Dashboard!$B$6,27,((1-Dashboard!$B$5+Dashboard!$B$6)^27-1)/(Dashboard!$B$6-Dashboard!$B$5)),0),"")))))</f>
        <v>0.15155025184184706</v>
      </c>
      <c r="AD11" s="17">
        <f>IF(Dashboard!$B$14="Retention %",(1-Dashboard!$B$5)^27,IF(Dashboard!$B$14="MRR ($)",$B11*Dashboard!$B$4*(1-Dashboard!$B$5+Dashboard!$B$6)^27,IF(Dashboard!$B$14="Churned Customers",$B11*(1-(1-Dashboard!$B$5)^27),IF(Dashboard!$B$14="Cumulative Revenue ($)",$B11*Dashboard!$B$4*IF(Dashboard!$B$5=Dashboard!$B$6,28,((1-Dashboard!$B$5+Dashboard!$B$6)^28-1)/(Dashboard!$B$6-Dashboard!$B$5)),IF(Dashboard!$B$14="LTV per Customer ($)",IF($B11&gt;0,Dashboard!$B$4*IF(Dashboard!$B$5=Dashboard!$B$6,28,((1-Dashboard!$B$5+Dashboard!$B$6)^28-1)/(Dashboard!$B$6-Dashboard!$B$5)),0),"")))))</f>
        <v>0.14094173421291775</v>
      </c>
      <c r="AE11" s="17"/>
      <c r="AF11" s="17"/>
      <c r="AG11" s="17"/>
      <c r="AH11" s="17"/>
      <c r="AI11" s="17"/>
      <c r="AJ11" s="17"/>
      <c r="AK11" s="17"/>
      <c r="AL11" s="22"/>
    </row>
    <row r="12" spans="1:38" x14ac:dyDescent="0.35">
      <c r="A12" s="40" t="s">
        <v>94</v>
      </c>
      <c r="B12" s="44">
        <v>2</v>
      </c>
      <c r="C12" s="46">
        <f>IF(Dashboard!$B$14="Retention %",1,IF(Dashboard!$B$14="MRR ($)",$B12*Dashboard!$B$4,IF(Dashboard!$B$14="Churned Customers",0,IF(Dashboard!$B$14="Cumulative Revenue ($)",$B12*Dashboard!$B$4,IF(Dashboard!$B$14="LTV per Customer ($)",IF($B12&gt;0,Dashboard!$B$4,0),"")))))</f>
        <v>1</v>
      </c>
      <c r="D12" s="36">
        <f>IF(Dashboard!$B$14="Retention %",(1-Dashboard!$B$5)^1,IF(Dashboard!$B$14="MRR ($)",$B12*Dashboard!$B$4*(1-Dashboard!$B$5+Dashboard!$B$6)^1,IF(Dashboard!$B$14="Churned Customers",$B12*(1-(1-Dashboard!$B$5)^1),IF(Dashboard!$B$14="Cumulative Revenue ($)",$B12*Dashboard!$B$4*IF(Dashboard!$B$5=Dashboard!$B$6,2,((1-Dashboard!$B$5+Dashboard!$B$6)^2-1)/(Dashboard!$B$6-Dashboard!$B$5)),IF(Dashboard!$B$14="LTV per Customer ($)",IF($B12&gt;0,Dashboard!$B$4*IF(Dashboard!$B$5=Dashboard!$B$6,2,((1-Dashboard!$B$5+Dashboard!$B$6)^2-1)/(Dashboard!$B$6-Dashboard!$B$5)),0),"")))))</f>
        <v>0.92999999999999994</v>
      </c>
      <c r="E12" s="36">
        <f>IF(Dashboard!$B$14="Retention %",(1-Dashboard!$B$5)^2,IF(Dashboard!$B$14="MRR ($)",$B12*Dashboard!$B$4*(1-Dashboard!$B$5+Dashboard!$B$6)^2,IF(Dashboard!$B$14="Churned Customers",$B12*(1-(1-Dashboard!$B$5)^2),IF(Dashboard!$B$14="Cumulative Revenue ($)",$B12*Dashboard!$B$4*IF(Dashboard!$B$5=Dashboard!$B$6,3,((1-Dashboard!$B$5+Dashboard!$B$6)^3-1)/(Dashboard!$B$6-Dashboard!$B$5)),IF(Dashboard!$B$14="LTV per Customer ($)",IF($B12&gt;0,Dashboard!$B$4*IF(Dashboard!$B$5=Dashboard!$B$6,3,((1-Dashboard!$B$5+Dashboard!$B$6)^3-1)/(Dashboard!$B$6-Dashboard!$B$5)),0),"")))))</f>
        <v>0.86489999999999989</v>
      </c>
      <c r="F12" s="36">
        <f>IF(Dashboard!$B$14="Retention %",(1-Dashboard!$B$5)^3,IF(Dashboard!$B$14="MRR ($)",$B12*Dashboard!$B$4*(1-Dashboard!$B$5+Dashboard!$B$6)^3,IF(Dashboard!$B$14="Churned Customers",$B12*(1-(1-Dashboard!$B$5)^3),IF(Dashboard!$B$14="Cumulative Revenue ($)",$B12*Dashboard!$B$4*IF(Dashboard!$B$5=Dashboard!$B$6,4,((1-Dashboard!$B$5+Dashboard!$B$6)^4-1)/(Dashboard!$B$6-Dashboard!$B$5)),IF(Dashboard!$B$14="LTV per Customer ($)",IF($B12&gt;0,Dashboard!$B$4*IF(Dashboard!$B$5=Dashboard!$B$6,4,((1-Dashboard!$B$5+Dashboard!$B$6)^4-1)/(Dashboard!$B$6-Dashboard!$B$5)),0),"")))))</f>
        <v>0.80435699999999988</v>
      </c>
      <c r="G12" s="36">
        <f>IF(Dashboard!$B$14="Retention %",(1-Dashboard!$B$5)^4,IF(Dashboard!$B$14="MRR ($)",$B12*Dashboard!$B$4*(1-Dashboard!$B$5+Dashboard!$B$6)^4,IF(Dashboard!$B$14="Churned Customers",$B12*(1-(1-Dashboard!$B$5)^4),IF(Dashboard!$B$14="Cumulative Revenue ($)",$B12*Dashboard!$B$4*IF(Dashboard!$B$5=Dashboard!$B$6,5,((1-Dashboard!$B$5+Dashboard!$B$6)^5-1)/(Dashboard!$B$6-Dashboard!$B$5)),IF(Dashboard!$B$14="LTV per Customer ($)",IF($B12&gt;0,Dashboard!$B$4*IF(Dashboard!$B$5=Dashboard!$B$6,5,((1-Dashboard!$B$5+Dashboard!$B$6)^5-1)/(Dashboard!$B$6-Dashboard!$B$5)),0),"")))))</f>
        <v>0.74805200999999977</v>
      </c>
      <c r="H12" s="36">
        <f>IF(Dashboard!$B$14="Retention %",(1-Dashboard!$B$5)^5,IF(Dashboard!$B$14="MRR ($)",$B12*Dashboard!$B$4*(1-Dashboard!$B$5+Dashboard!$B$6)^5,IF(Dashboard!$B$14="Churned Customers",$B12*(1-(1-Dashboard!$B$5)^5),IF(Dashboard!$B$14="Cumulative Revenue ($)",$B12*Dashboard!$B$4*IF(Dashboard!$B$5=Dashboard!$B$6,6,((1-Dashboard!$B$5+Dashboard!$B$6)^6-1)/(Dashboard!$B$6-Dashboard!$B$5)),IF(Dashboard!$B$14="LTV per Customer ($)",IF($B12&gt;0,Dashboard!$B$4*IF(Dashboard!$B$5=Dashboard!$B$6,6,((1-Dashboard!$B$5+Dashboard!$B$6)^6-1)/(Dashboard!$B$6-Dashboard!$B$5)),0),"")))))</f>
        <v>0.69568836929999978</v>
      </c>
      <c r="I12" s="36">
        <f>IF(Dashboard!$B$14="Retention %",(1-Dashboard!$B$5)^6,IF(Dashboard!$B$14="MRR ($)",$B12*Dashboard!$B$4*(1-Dashboard!$B$5+Dashboard!$B$6)^6,IF(Dashboard!$B$14="Churned Customers",$B12*(1-(1-Dashboard!$B$5)^6),IF(Dashboard!$B$14="Cumulative Revenue ($)",$B12*Dashboard!$B$4*IF(Dashboard!$B$5=Dashboard!$B$6,7,((1-Dashboard!$B$5+Dashboard!$B$6)^7-1)/(Dashboard!$B$6-Dashboard!$B$5)),IF(Dashboard!$B$14="LTV per Customer ($)",IF($B12&gt;0,Dashboard!$B$4*IF(Dashboard!$B$5=Dashboard!$B$6,7,((1-Dashboard!$B$5+Dashboard!$B$6)^7-1)/(Dashboard!$B$6-Dashboard!$B$5)),0),"")))))</f>
        <v>0.64699018344899972</v>
      </c>
      <c r="J12" s="36">
        <f>IF(Dashboard!$B$14="Retention %",(1-Dashboard!$B$5)^7,IF(Dashboard!$B$14="MRR ($)",$B12*Dashboard!$B$4*(1-Dashboard!$B$5+Dashboard!$B$6)^7,IF(Dashboard!$B$14="Churned Customers",$B12*(1-(1-Dashboard!$B$5)^7),IF(Dashboard!$B$14="Cumulative Revenue ($)",$B12*Dashboard!$B$4*IF(Dashboard!$B$5=Dashboard!$B$6,8,((1-Dashboard!$B$5+Dashboard!$B$6)^8-1)/(Dashboard!$B$6-Dashboard!$B$5)),IF(Dashboard!$B$14="LTV per Customer ($)",IF($B12&gt;0,Dashboard!$B$4*IF(Dashboard!$B$5=Dashboard!$B$6,8,((1-Dashboard!$B$5+Dashboard!$B$6)^8-1)/(Dashboard!$B$6-Dashboard!$B$5)),0),"")))))</f>
        <v>0.60170087060756972</v>
      </c>
      <c r="K12" s="36">
        <f>IF(Dashboard!$B$14="Retention %",(1-Dashboard!$B$5)^8,IF(Dashboard!$B$14="MRR ($)",$B12*Dashboard!$B$4*(1-Dashboard!$B$5+Dashboard!$B$6)^8,IF(Dashboard!$B$14="Churned Customers",$B12*(1-(1-Dashboard!$B$5)^8),IF(Dashboard!$B$14="Cumulative Revenue ($)",$B12*Dashboard!$B$4*IF(Dashboard!$B$5=Dashboard!$B$6,9,((1-Dashboard!$B$5+Dashboard!$B$6)^9-1)/(Dashboard!$B$6-Dashboard!$B$5)),IF(Dashboard!$B$14="LTV per Customer ($)",IF($B12&gt;0,Dashboard!$B$4*IF(Dashboard!$B$5=Dashboard!$B$6,9,((1-Dashboard!$B$5+Dashboard!$B$6)^9-1)/(Dashboard!$B$6-Dashboard!$B$5)),0),"")))))</f>
        <v>0.55958180966503979</v>
      </c>
      <c r="L12" s="36">
        <f>IF(Dashboard!$B$14="Retention %",(1-Dashboard!$B$5)^9,IF(Dashboard!$B$14="MRR ($)",$B12*Dashboard!$B$4*(1-Dashboard!$B$5+Dashboard!$B$6)^9,IF(Dashboard!$B$14="Churned Customers",$B12*(1-(1-Dashboard!$B$5)^9),IF(Dashboard!$B$14="Cumulative Revenue ($)",$B12*Dashboard!$B$4*IF(Dashboard!$B$5=Dashboard!$B$6,10,((1-Dashboard!$B$5+Dashboard!$B$6)^10-1)/(Dashboard!$B$6-Dashboard!$B$5)),IF(Dashboard!$B$14="LTV per Customer ($)",IF($B12&gt;0,Dashboard!$B$4*IF(Dashboard!$B$5=Dashboard!$B$6,10,((1-Dashboard!$B$5+Dashboard!$B$6)^10-1)/(Dashboard!$B$6-Dashboard!$B$5)),0),"")))))</f>
        <v>0.52041108298848693</v>
      </c>
      <c r="M12" s="16">
        <f>IF(Dashboard!$B$14="Retention %",(1-Dashboard!$B$5)^10,IF(Dashboard!$B$14="MRR ($)",$B12*Dashboard!$B$4*(1-Dashboard!$B$5+Dashboard!$B$6)^10,IF(Dashboard!$B$14="Churned Customers",$B12*(1-(1-Dashboard!$B$5)^10),IF(Dashboard!$B$14="Cumulative Revenue ($)",$B12*Dashboard!$B$4*IF(Dashboard!$B$5=Dashboard!$B$6,11,((1-Dashboard!$B$5+Dashboard!$B$6)^11-1)/(Dashboard!$B$6-Dashboard!$B$5)),IF(Dashboard!$B$14="LTV per Customer ($)",IF($B12&gt;0,Dashboard!$B$4*IF(Dashboard!$B$5=Dashboard!$B$6,11,((1-Dashboard!$B$5+Dashboard!$B$6)^11-1)/(Dashboard!$B$6-Dashboard!$B$5)),0),"")))))</f>
        <v>0.48398230717929286</v>
      </c>
      <c r="N12" s="16">
        <f>IF(Dashboard!$B$14="Retention %",(1-Dashboard!$B$5)^11,IF(Dashboard!$B$14="MRR ($)",$B12*Dashboard!$B$4*(1-Dashboard!$B$5+Dashboard!$B$6)^11,IF(Dashboard!$B$14="Churned Customers",$B12*(1-(1-Dashboard!$B$5)^11),IF(Dashboard!$B$14="Cumulative Revenue ($)",$B12*Dashboard!$B$4*IF(Dashboard!$B$5=Dashboard!$B$6,12,((1-Dashboard!$B$5+Dashboard!$B$6)^12-1)/(Dashboard!$B$6-Dashboard!$B$5)),IF(Dashboard!$B$14="LTV per Customer ($)",IF($B12&gt;0,Dashboard!$B$4*IF(Dashboard!$B$5=Dashboard!$B$6,12,((1-Dashboard!$B$5+Dashboard!$B$6)^12-1)/(Dashboard!$B$6-Dashboard!$B$5)),0),"")))))</f>
        <v>0.45010354567674232</v>
      </c>
      <c r="O12" s="16">
        <f>IF(Dashboard!$B$14="Retention %",(1-Dashboard!$B$5)^12,IF(Dashboard!$B$14="MRR ($)",$B12*Dashboard!$B$4*(1-Dashboard!$B$5+Dashboard!$B$6)^12,IF(Dashboard!$B$14="Churned Customers",$B12*(1-(1-Dashboard!$B$5)^12),IF(Dashboard!$B$14="Cumulative Revenue ($)",$B12*Dashboard!$B$4*IF(Dashboard!$B$5=Dashboard!$B$6,13,((1-Dashboard!$B$5+Dashboard!$B$6)^13-1)/(Dashboard!$B$6-Dashboard!$B$5)),IF(Dashboard!$B$14="LTV per Customer ($)",IF($B12&gt;0,Dashboard!$B$4*IF(Dashboard!$B$5=Dashboard!$B$6,13,((1-Dashboard!$B$5+Dashboard!$B$6)^13-1)/(Dashboard!$B$6-Dashboard!$B$5)),0),"")))))</f>
        <v>0.41859629747937033</v>
      </c>
      <c r="P12" s="16">
        <f>IF(Dashboard!$B$14="Retention %",(1-Dashboard!$B$5)^13,IF(Dashboard!$B$14="MRR ($)",$B12*Dashboard!$B$4*(1-Dashboard!$B$5+Dashboard!$B$6)^13,IF(Dashboard!$B$14="Churned Customers",$B12*(1-(1-Dashboard!$B$5)^13),IF(Dashboard!$B$14="Cumulative Revenue ($)",$B12*Dashboard!$B$4*IF(Dashboard!$B$5=Dashboard!$B$6,14,((1-Dashboard!$B$5+Dashboard!$B$6)^14-1)/(Dashboard!$B$6-Dashboard!$B$5)),IF(Dashboard!$B$14="LTV per Customer ($)",IF($B12&gt;0,Dashboard!$B$4*IF(Dashboard!$B$5=Dashboard!$B$6,14,((1-Dashboard!$B$5+Dashboard!$B$6)^14-1)/(Dashboard!$B$6-Dashboard!$B$5)),0),"")))))</f>
        <v>0.38929455665581436</v>
      </c>
      <c r="Q12" s="16">
        <f>IF(Dashboard!$B$14="Retention %",(1-Dashboard!$B$5)^14,IF(Dashboard!$B$14="MRR ($)",$B12*Dashboard!$B$4*(1-Dashboard!$B$5+Dashboard!$B$6)^14,IF(Dashboard!$B$14="Churned Customers",$B12*(1-(1-Dashboard!$B$5)^14),IF(Dashboard!$B$14="Cumulative Revenue ($)",$B12*Dashboard!$B$4*IF(Dashboard!$B$5=Dashboard!$B$6,15,((1-Dashboard!$B$5+Dashboard!$B$6)^15-1)/(Dashboard!$B$6-Dashboard!$B$5)),IF(Dashboard!$B$14="LTV per Customer ($)",IF($B12&gt;0,Dashboard!$B$4*IF(Dashboard!$B$5=Dashboard!$B$6,15,((1-Dashboard!$B$5+Dashboard!$B$6)^15-1)/(Dashboard!$B$6-Dashboard!$B$5)),0),"")))))</f>
        <v>0.36204393768990734</v>
      </c>
      <c r="R12" s="16">
        <f>IF(Dashboard!$B$14="Retention %",(1-Dashboard!$B$5)^15,IF(Dashboard!$B$14="MRR ($)",$B12*Dashboard!$B$4*(1-Dashboard!$B$5+Dashboard!$B$6)^15,IF(Dashboard!$B$14="Churned Customers",$B12*(1-(1-Dashboard!$B$5)^15),IF(Dashboard!$B$14="Cumulative Revenue ($)",$B12*Dashboard!$B$4*IF(Dashboard!$B$5=Dashboard!$B$6,16,((1-Dashboard!$B$5+Dashboard!$B$6)^16-1)/(Dashboard!$B$6-Dashboard!$B$5)),IF(Dashboard!$B$14="LTV per Customer ($)",IF($B12&gt;0,Dashboard!$B$4*IF(Dashboard!$B$5=Dashboard!$B$6,16,((1-Dashboard!$B$5+Dashboard!$B$6)^16-1)/(Dashboard!$B$6-Dashboard!$B$5)),0),"")))))</f>
        <v>0.33670086205161381</v>
      </c>
      <c r="S12" s="16">
        <f>IF(Dashboard!$B$14="Retention %",(1-Dashboard!$B$5)^16,IF(Dashboard!$B$14="MRR ($)",$B12*Dashboard!$B$4*(1-Dashboard!$B$5+Dashboard!$B$6)^16,IF(Dashboard!$B$14="Churned Customers",$B12*(1-(1-Dashboard!$B$5)^16),IF(Dashboard!$B$14="Cumulative Revenue ($)",$B12*Dashboard!$B$4*IF(Dashboard!$B$5=Dashboard!$B$6,17,((1-Dashboard!$B$5+Dashboard!$B$6)^17-1)/(Dashboard!$B$6-Dashboard!$B$5)),IF(Dashboard!$B$14="LTV per Customer ($)",IF($B12&gt;0,Dashboard!$B$4*IF(Dashboard!$B$5=Dashboard!$B$6,17,((1-Dashboard!$B$5+Dashboard!$B$6)^17-1)/(Dashboard!$B$6-Dashboard!$B$5)),0),"")))))</f>
        <v>0.31313180170800081</v>
      </c>
      <c r="T12" s="16">
        <f>IF(Dashboard!$B$14="Retention %",(1-Dashboard!$B$5)^17,IF(Dashboard!$B$14="MRR ($)",$B12*Dashboard!$B$4*(1-Dashboard!$B$5+Dashboard!$B$6)^17,IF(Dashboard!$B$14="Churned Customers",$B12*(1-(1-Dashboard!$B$5)^17),IF(Dashboard!$B$14="Cumulative Revenue ($)",$B12*Dashboard!$B$4*IF(Dashboard!$B$5=Dashboard!$B$6,18,((1-Dashboard!$B$5+Dashboard!$B$6)^18-1)/(Dashboard!$B$6-Dashboard!$B$5)),IF(Dashboard!$B$14="LTV per Customer ($)",IF($B12&gt;0,Dashboard!$B$4*IF(Dashboard!$B$5=Dashboard!$B$6,18,((1-Dashboard!$B$5+Dashboard!$B$6)^18-1)/(Dashboard!$B$6-Dashboard!$B$5)),0),"")))))</f>
        <v>0.29121257558844071</v>
      </c>
      <c r="U12" s="16">
        <f>IF(Dashboard!$B$14="Retention %",(1-Dashboard!$B$5)^18,IF(Dashboard!$B$14="MRR ($)",$B12*Dashboard!$B$4*(1-Dashboard!$B$5+Dashboard!$B$6)^18,IF(Dashboard!$B$14="Churned Customers",$B12*(1-(1-Dashboard!$B$5)^18),IF(Dashboard!$B$14="Cumulative Revenue ($)",$B12*Dashboard!$B$4*IF(Dashboard!$B$5=Dashboard!$B$6,19,((1-Dashboard!$B$5+Dashboard!$B$6)^19-1)/(Dashboard!$B$6-Dashboard!$B$5)),IF(Dashboard!$B$14="LTV per Customer ($)",IF($B12&gt;0,Dashboard!$B$4*IF(Dashboard!$B$5=Dashboard!$B$6,19,((1-Dashboard!$B$5+Dashboard!$B$6)^19-1)/(Dashboard!$B$6-Dashboard!$B$5)),0),"")))))</f>
        <v>0.27082769529724987</v>
      </c>
      <c r="V12" s="16">
        <f>IF(Dashboard!$B$14="Retention %",(1-Dashboard!$B$5)^19,IF(Dashboard!$B$14="MRR ($)",$B12*Dashboard!$B$4*(1-Dashboard!$B$5+Dashboard!$B$6)^19,IF(Dashboard!$B$14="Churned Customers",$B12*(1-(1-Dashboard!$B$5)^19),IF(Dashboard!$B$14="Cumulative Revenue ($)",$B12*Dashboard!$B$4*IF(Dashboard!$B$5=Dashboard!$B$6,20,((1-Dashboard!$B$5+Dashboard!$B$6)^20-1)/(Dashboard!$B$6-Dashboard!$B$5)),IF(Dashboard!$B$14="LTV per Customer ($)",IF($B12&gt;0,Dashboard!$B$4*IF(Dashboard!$B$5=Dashboard!$B$6,20,((1-Dashboard!$B$5+Dashboard!$B$6)^20-1)/(Dashboard!$B$6-Dashboard!$B$5)),0),"")))))</f>
        <v>0.2518697566264424</v>
      </c>
      <c r="W12" s="16">
        <f>IF(Dashboard!$B$14="Retention %",(1-Dashboard!$B$5)^20,IF(Dashboard!$B$14="MRR ($)",$B12*Dashboard!$B$4*(1-Dashboard!$B$5+Dashboard!$B$6)^20,IF(Dashboard!$B$14="Churned Customers",$B12*(1-(1-Dashboard!$B$5)^20),IF(Dashboard!$B$14="Cumulative Revenue ($)",$B12*Dashboard!$B$4*IF(Dashboard!$B$5=Dashboard!$B$6,21,((1-Dashboard!$B$5+Dashboard!$B$6)^21-1)/(Dashboard!$B$6-Dashboard!$B$5)),IF(Dashboard!$B$14="LTV per Customer ($)",IF($B12&gt;0,Dashboard!$B$4*IF(Dashboard!$B$5=Dashboard!$B$6,21,((1-Dashboard!$B$5+Dashboard!$B$6)^21-1)/(Dashboard!$B$6-Dashboard!$B$5)),0),"")))))</f>
        <v>0.23423887366259136</v>
      </c>
      <c r="X12" s="16">
        <f>IF(Dashboard!$B$14="Retention %",(1-Dashboard!$B$5)^21,IF(Dashboard!$B$14="MRR ($)",$B12*Dashboard!$B$4*(1-Dashboard!$B$5+Dashboard!$B$6)^21,IF(Dashboard!$B$14="Churned Customers",$B12*(1-(1-Dashboard!$B$5)^21),IF(Dashboard!$B$14="Cumulative Revenue ($)",$B12*Dashboard!$B$4*IF(Dashboard!$B$5=Dashboard!$B$6,22,((1-Dashboard!$B$5+Dashboard!$B$6)^22-1)/(Dashboard!$B$6-Dashboard!$B$5)),IF(Dashboard!$B$14="LTV per Customer ($)",IF($B12&gt;0,Dashboard!$B$4*IF(Dashboard!$B$5=Dashboard!$B$6,22,((1-Dashboard!$B$5+Dashboard!$B$6)^22-1)/(Dashboard!$B$6-Dashboard!$B$5)),0),"")))))</f>
        <v>0.21784215250620997</v>
      </c>
      <c r="Y12" s="16">
        <f>IF(Dashboard!$B$14="Retention %",(1-Dashboard!$B$5)^22,IF(Dashboard!$B$14="MRR ($)",$B12*Dashboard!$B$4*(1-Dashboard!$B$5+Dashboard!$B$6)^22,IF(Dashboard!$B$14="Churned Customers",$B12*(1-(1-Dashboard!$B$5)^22),IF(Dashboard!$B$14="Cumulative Revenue ($)",$B12*Dashboard!$B$4*IF(Dashboard!$B$5=Dashboard!$B$6,23,((1-Dashboard!$B$5+Dashboard!$B$6)^23-1)/(Dashboard!$B$6-Dashboard!$B$5)),IF(Dashboard!$B$14="LTV per Customer ($)",IF($B12&gt;0,Dashboard!$B$4*IF(Dashboard!$B$5=Dashboard!$B$6,23,((1-Dashboard!$B$5+Dashboard!$B$6)^23-1)/(Dashboard!$B$6-Dashboard!$B$5)),0),"")))))</f>
        <v>0.20259320183077525</v>
      </c>
      <c r="Z12" s="16">
        <f>IF(Dashboard!$B$14="Retention %",(1-Dashboard!$B$5)^23,IF(Dashboard!$B$14="MRR ($)",$B12*Dashboard!$B$4*(1-Dashboard!$B$5+Dashboard!$B$6)^23,IF(Dashboard!$B$14="Churned Customers",$B12*(1-(1-Dashboard!$B$5)^23),IF(Dashboard!$B$14="Cumulative Revenue ($)",$B12*Dashboard!$B$4*IF(Dashboard!$B$5=Dashboard!$B$6,24,((1-Dashboard!$B$5+Dashboard!$B$6)^24-1)/(Dashboard!$B$6-Dashboard!$B$5)),IF(Dashboard!$B$14="LTV per Customer ($)",IF($B12&gt;0,Dashboard!$B$4*IF(Dashboard!$B$5=Dashboard!$B$6,24,((1-Dashboard!$B$5+Dashboard!$B$6)^24-1)/(Dashboard!$B$6-Dashboard!$B$5)),0),"")))))</f>
        <v>0.18841167770262096</v>
      </c>
      <c r="AA12" s="16">
        <f>IF(Dashboard!$B$14="Retention %",(1-Dashboard!$B$5)^24,IF(Dashboard!$B$14="MRR ($)",$B12*Dashboard!$B$4*(1-Dashboard!$B$5+Dashboard!$B$6)^24,IF(Dashboard!$B$14="Churned Customers",$B12*(1-(1-Dashboard!$B$5)^24),IF(Dashboard!$B$14="Cumulative Revenue ($)",$B12*Dashboard!$B$4*IF(Dashboard!$B$5=Dashboard!$B$6,25,((1-Dashboard!$B$5+Dashboard!$B$6)^25-1)/(Dashboard!$B$6-Dashboard!$B$5)),IF(Dashboard!$B$14="LTV per Customer ($)",IF($B12&gt;0,Dashboard!$B$4*IF(Dashboard!$B$5=Dashboard!$B$6,25,((1-Dashboard!$B$5+Dashboard!$B$6)^25-1)/(Dashboard!$B$6-Dashboard!$B$5)),0),"")))))</f>
        <v>0.1752228602634375</v>
      </c>
      <c r="AB12" s="16">
        <f>IF(Dashboard!$B$14="Retention %",(1-Dashboard!$B$5)^25,IF(Dashboard!$B$14="MRR ($)",$B12*Dashboard!$B$4*(1-Dashboard!$B$5+Dashboard!$B$6)^25,IF(Dashboard!$B$14="Churned Customers",$B12*(1-(1-Dashboard!$B$5)^25),IF(Dashboard!$B$14="Cumulative Revenue ($)",$B12*Dashboard!$B$4*IF(Dashboard!$B$5=Dashboard!$B$6,26,((1-Dashboard!$B$5+Dashboard!$B$6)^26-1)/(Dashboard!$B$6-Dashboard!$B$5)),IF(Dashboard!$B$14="LTV per Customer ($)",IF($B12&gt;0,Dashboard!$B$4*IF(Dashboard!$B$5=Dashboard!$B$6,26,((1-Dashboard!$B$5+Dashboard!$B$6)^26-1)/(Dashboard!$B$6-Dashboard!$B$5)),0),"")))))</f>
        <v>0.16295726004499683</v>
      </c>
      <c r="AC12" s="16">
        <f>IF(Dashboard!$B$14="Retention %",(1-Dashboard!$B$5)^26,IF(Dashboard!$B$14="MRR ($)",$B12*Dashboard!$B$4*(1-Dashboard!$B$5+Dashboard!$B$6)^26,IF(Dashboard!$B$14="Churned Customers",$B12*(1-(1-Dashboard!$B$5)^26),IF(Dashboard!$B$14="Cumulative Revenue ($)",$B12*Dashboard!$B$4*IF(Dashboard!$B$5=Dashboard!$B$6,27,((1-Dashboard!$B$5+Dashboard!$B$6)^27-1)/(Dashboard!$B$6-Dashboard!$B$5)),IF(Dashboard!$B$14="LTV per Customer ($)",IF($B12&gt;0,Dashboard!$B$4*IF(Dashboard!$B$5=Dashboard!$B$6,27,((1-Dashboard!$B$5+Dashboard!$B$6)^27-1)/(Dashboard!$B$6-Dashboard!$B$5)),0),"")))))</f>
        <v>0.15155025184184706</v>
      </c>
      <c r="AD12" s="16"/>
      <c r="AE12" s="16"/>
      <c r="AF12" s="16"/>
      <c r="AG12" s="16"/>
      <c r="AH12" s="16"/>
      <c r="AI12" s="16"/>
      <c r="AJ12" s="16"/>
      <c r="AK12" s="16"/>
      <c r="AL12" s="21"/>
    </row>
    <row r="13" spans="1:38" x14ac:dyDescent="0.35">
      <c r="A13" s="40" t="s">
        <v>95</v>
      </c>
      <c r="B13" s="44">
        <v>2</v>
      </c>
      <c r="C13" s="46">
        <f>IF(Dashboard!$B$14="Retention %",1,IF(Dashboard!$B$14="MRR ($)",$B13*Dashboard!$B$4,IF(Dashboard!$B$14="Churned Customers",0,IF(Dashboard!$B$14="Cumulative Revenue ($)",$B13*Dashboard!$B$4,IF(Dashboard!$B$14="LTV per Customer ($)",IF($B13&gt;0,Dashboard!$B$4,0),"")))))</f>
        <v>1</v>
      </c>
      <c r="D13" s="37">
        <f>IF(Dashboard!$B$14="Retention %",(1-Dashboard!$B$5)^1,IF(Dashboard!$B$14="MRR ($)",$B13*Dashboard!$B$4*(1-Dashboard!$B$5+Dashboard!$B$6)^1,IF(Dashboard!$B$14="Churned Customers",$B13*(1-(1-Dashboard!$B$5)^1),IF(Dashboard!$B$14="Cumulative Revenue ($)",$B13*Dashboard!$B$4*IF(Dashboard!$B$5=Dashboard!$B$6,2,((1-Dashboard!$B$5+Dashboard!$B$6)^2-1)/(Dashboard!$B$6-Dashboard!$B$5)),IF(Dashboard!$B$14="LTV per Customer ($)",IF($B13&gt;0,Dashboard!$B$4*IF(Dashboard!$B$5=Dashboard!$B$6,2,((1-Dashboard!$B$5+Dashboard!$B$6)^2-1)/(Dashboard!$B$6-Dashboard!$B$5)),0),"")))))</f>
        <v>0.92999999999999994</v>
      </c>
      <c r="E13" s="37">
        <f>IF(Dashboard!$B$14="Retention %",(1-Dashboard!$B$5)^2,IF(Dashboard!$B$14="MRR ($)",$B13*Dashboard!$B$4*(1-Dashboard!$B$5+Dashboard!$B$6)^2,IF(Dashboard!$B$14="Churned Customers",$B13*(1-(1-Dashboard!$B$5)^2),IF(Dashboard!$B$14="Cumulative Revenue ($)",$B13*Dashboard!$B$4*IF(Dashboard!$B$5=Dashboard!$B$6,3,((1-Dashboard!$B$5+Dashboard!$B$6)^3-1)/(Dashboard!$B$6-Dashboard!$B$5)),IF(Dashboard!$B$14="LTV per Customer ($)",IF($B13&gt;0,Dashboard!$B$4*IF(Dashboard!$B$5=Dashboard!$B$6,3,((1-Dashboard!$B$5+Dashboard!$B$6)^3-1)/(Dashboard!$B$6-Dashboard!$B$5)),0),"")))))</f>
        <v>0.86489999999999989</v>
      </c>
      <c r="F13" s="37">
        <f>IF(Dashboard!$B$14="Retention %",(1-Dashboard!$B$5)^3,IF(Dashboard!$B$14="MRR ($)",$B13*Dashboard!$B$4*(1-Dashboard!$B$5+Dashboard!$B$6)^3,IF(Dashboard!$B$14="Churned Customers",$B13*(1-(1-Dashboard!$B$5)^3),IF(Dashboard!$B$14="Cumulative Revenue ($)",$B13*Dashboard!$B$4*IF(Dashboard!$B$5=Dashboard!$B$6,4,((1-Dashboard!$B$5+Dashboard!$B$6)^4-1)/(Dashboard!$B$6-Dashboard!$B$5)),IF(Dashboard!$B$14="LTV per Customer ($)",IF($B13&gt;0,Dashboard!$B$4*IF(Dashboard!$B$5=Dashboard!$B$6,4,((1-Dashboard!$B$5+Dashboard!$B$6)^4-1)/(Dashboard!$B$6-Dashboard!$B$5)),0),"")))))</f>
        <v>0.80435699999999988</v>
      </c>
      <c r="G13" s="37">
        <f>IF(Dashboard!$B$14="Retention %",(1-Dashboard!$B$5)^4,IF(Dashboard!$B$14="MRR ($)",$B13*Dashboard!$B$4*(1-Dashboard!$B$5+Dashboard!$B$6)^4,IF(Dashboard!$B$14="Churned Customers",$B13*(1-(1-Dashboard!$B$5)^4),IF(Dashboard!$B$14="Cumulative Revenue ($)",$B13*Dashboard!$B$4*IF(Dashboard!$B$5=Dashboard!$B$6,5,((1-Dashboard!$B$5+Dashboard!$B$6)^5-1)/(Dashboard!$B$6-Dashboard!$B$5)),IF(Dashboard!$B$14="LTV per Customer ($)",IF($B13&gt;0,Dashboard!$B$4*IF(Dashboard!$B$5=Dashboard!$B$6,5,((1-Dashboard!$B$5+Dashboard!$B$6)^5-1)/(Dashboard!$B$6-Dashboard!$B$5)),0),"")))))</f>
        <v>0.74805200999999977</v>
      </c>
      <c r="H13" s="37">
        <f>IF(Dashboard!$B$14="Retention %",(1-Dashboard!$B$5)^5,IF(Dashboard!$B$14="MRR ($)",$B13*Dashboard!$B$4*(1-Dashboard!$B$5+Dashboard!$B$6)^5,IF(Dashboard!$B$14="Churned Customers",$B13*(1-(1-Dashboard!$B$5)^5),IF(Dashboard!$B$14="Cumulative Revenue ($)",$B13*Dashboard!$B$4*IF(Dashboard!$B$5=Dashboard!$B$6,6,((1-Dashboard!$B$5+Dashboard!$B$6)^6-1)/(Dashboard!$B$6-Dashboard!$B$5)),IF(Dashboard!$B$14="LTV per Customer ($)",IF($B13&gt;0,Dashboard!$B$4*IF(Dashboard!$B$5=Dashboard!$B$6,6,((1-Dashboard!$B$5+Dashboard!$B$6)^6-1)/(Dashboard!$B$6-Dashboard!$B$5)),0),"")))))</f>
        <v>0.69568836929999978</v>
      </c>
      <c r="I13" s="37">
        <f>IF(Dashboard!$B$14="Retention %",(1-Dashboard!$B$5)^6,IF(Dashboard!$B$14="MRR ($)",$B13*Dashboard!$B$4*(1-Dashboard!$B$5+Dashboard!$B$6)^6,IF(Dashboard!$B$14="Churned Customers",$B13*(1-(1-Dashboard!$B$5)^6),IF(Dashboard!$B$14="Cumulative Revenue ($)",$B13*Dashboard!$B$4*IF(Dashboard!$B$5=Dashboard!$B$6,7,((1-Dashboard!$B$5+Dashboard!$B$6)^7-1)/(Dashboard!$B$6-Dashboard!$B$5)),IF(Dashboard!$B$14="LTV per Customer ($)",IF($B13&gt;0,Dashboard!$B$4*IF(Dashboard!$B$5=Dashboard!$B$6,7,((1-Dashboard!$B$5+Dashboard!$B$6)^7-1)/(Dashboard!$B$6-Dashboard!$B$5)),0),"")))))</f>
        <v>0.64699018344899972</v>
      </c>
      <c r="J13" s="37">
        <f>IF(Dashboard!$B$14="Retention %",(1-Dashboard!$B$5)^7,IF(Dashboard!$B$14="MRR ($)",$B13*Dashboard!$B$4*(1-Dashboard!$B$5+Dashboard!$B$6)^7,IF(Dashboard!$B$14="Churned Customers",$B13*(1-(1-Dashboard!$B$5)^7),IF(Dashboard!$B$14="Cumulative Revenue ($)",$B13*Dashboard!$B$4*IF(Dashboard!$B$5=Dashboard!$B$6,8,((1-Dashboard!$B$5+Dashboard!$B$6)^8-1)/(Dashboard!$B$6-Dashboard!$B$5)),IF(Dashboard!$B$14="LTV per Customer ($)",IF($B13&gt;0,Dashboard!$B$4*IF(Dashboard!$B$5=Dashboard!$B$6,8,((1-Dashboard!$B$5+Dashboard!$B$6)^8-1)/(Dashboard!$B$6-Dashboard!$B$5)),0),"")))))</f>
        <v>0.60170087060756972</v>
      </c>
      <c r="K13" s="37">
        <f>IF(Dashboard!$B$14="Retention %",(1-Dashboard!$B$5)^8,IF(Dashboard!$B$14="MRR ($)",$B13*Dashboard!$B$4*(1-Dashboard!$B$5+Dashboard!$B$6)^8,IF(Dashboard!$B$14="Churned Customers",$B13*(1-(1-Dashboard!$B$5)^8),IF(Dashboard!$B$14="Cumulative Revenue ($)",$B13*Dashboard!$B$4*IF(Dashboard!$B$5=Dashboard!$B$6,9,((1-Dashboard!$B$5+Dashboard!$B$6)^9-1)/(Dashboard!$B$6-Dashboard!$B$5)),IF(Dashboard!$B$14="LTV per Customer ($)",IF($B13&gt;0,Dashboard!$B$4*IF(Dashboard!$B$5=Dashboard!$B$6,9,((1-Dashboard!$B$5+Dashboard!$B$6)^9-1)/(Dashboard!$B$6-Dashboard!$B$5)),0),"")))))</f>
        <v>0.55958180966503979</v>
      </c>
      <c r="L13" s="37">
        <f>IF(Dashboard!$B$14="Retention %",(1-Dashboard!$B$5)^9,IF(Dashboard!$B$14="MRR ($)",$B13*Dashboard!$B$4*(1-Dashboard!$B$5+Dashboard!$B$6)^9,IF(Dashboard!$B$14="Churned Customers",$B13*(1-(1-Dashboard!$B$5)^9),IF(Dashboard!$B$14="Cumulative Revenue ($)",$B13*Dashboard!$B$4*IF(Dashboard!$B$5=Dashboard!$B$6,10,((1-Dashboard!$B$5+Dashboard!$B$6)^10-1)/(Dashboard!$B$6-Dashboard!$B$5)),IF(Dashboard!$B$14="LTV per Customer ($)",IF($B13&gt;0,Dashboard!$B$4*IF(Dashboard!$B$5=Dashboard!$B$6,10,((1-Dashboard!$B$5+Dashboard!$B$6)^10-1)/(Dashboard!$B$6-Dashboard!$B$5)),0),"")))))</f>
        <v>0.52041108298848693</v>
      </c>
      <c r="M13" s="17">
        <f>IF(Dashboard!$B$14="Retention %",(1-Dashboard!$B$5)^10,IF(Dashboard!$B$14="MRR ($)",$B13*Dashboard!$B$4*(1-Dashboard!$B$5+Dashboard!$B$6)^10,IF(Dashboard!$B$14="Churned Customers",$B13*(1-(1-Dashboard!$B$5)^10),IF(Dashboard!$B$14="Cumulative Revenue ($)",$B13*Dashboard!$B$4*IF(Dashboard!$B$5=Dashboard!$B$6,11,((1-Dashboard!$B$5+Dashboard!$B$6)^11-1)/(Dashboard!$B$6-Dashboard!$B$5)),IF(Dashboard!$B$14="LTV per Customer ($)",IF($B13&gt;0,Dashboard!$B$4*IF(Dashboard!$B$5=Dashboard!$B$6,11,((1-Dashboard!$B$5+Dashboard!$B$6)^11-1)/(Dashboard!$B$6-Dashboard!$B$5)),0),"")))))</f>
        <v>0.48398230717929286</v>
      </c>
      <c r="N13" s="17">
        <f>IF(Dashboard!$B$14="Retention %",(1-Dashboard!$B$5)^11,IF(Dashboard!$B$14="MRR ($)",$B13*Dashboard!$B$4*(1-Dashboard!$B$5+Dashboard!$B$6)^11,IF(Dashboard!$B$14="Churned Customers",$B13*(1-(1-Dashboard!$B$5)^11),IF(Dashboard!$B$14="Cumulative Revenue ($)",$B13*Dashboard!$B$4*IF(Dashboard!$B$5=Dashboard!$B$6,12,((1-Dashboard!$B$5+Dashboard!$B$6)^12-1)/(Dashboard!$B$6-Dashboard!$B$5)),IF(Dashboard!$B$14="LTV per Customer ($)",IF($B13&gt;0,Dashboard!$B$4*IF(Dashboard!$B$5=Dashboard!$B$6,12,((1-Dashboard!$B$5+Dashboard!$B$6)^12-1)/(Dashboard!$B$6-Dashboard!$B$5)),0),"")))))</f>
        <v>0.45010354567674232</v>
      </c>
      <c r="O13" s="17">
        <f>IF(Dashboard!$B$14="Retention %",(1-Dashboard!$B$5)^12,IF(Dashboard!$B$14="MRR ($)",$B13*Dashboard!$B$4*(1-Dashboard!$B$5+Dashboard!$B$6)^12,IF(Dashboard!$B$14="Churned Customers",$B13*(1-(1-Dashboard!$B$5)^12),IF(Dashboard!$B$14="Cumulative Revenue ($)",$B13*Dashboard!$B$4*IF(Dashboard!$B$5=Dashboard!$B$6,13,((1-Dashboard!$B$5+Dashboard!$B$6)^13-1)/(Dashboard!$B$6-Dashboard!$B$5)),IF(Dashboard!$B$14="LTV per Customer ($)",IF($B13&gt;0,Dashboard!$B$4*IF(Dashboard!$B$5=Dashboard!$B$6,13,((1-Dashboard!$B$5+Dashboard!$B$6)^13-1)/(Dashboard!$B$6-Dashboard!$B$5)),0),"")))))</f>
        <v>0.41859629747937033</v>
      </c>
      <c r="P13" s="17">
        <f>IF(Dashboard!$B$14="Retention %",(1-Dashboard!$B$5)^13,IF(Dashboard!$B$14="MRR ($)",$B13*Dashboard!$B$4*(1-Dashboard!$B$5+Dashboard!$B$6)^13,IF(Dashboard!$B$14="Churned Customers",$B13*(1-(1-Dashboard!$B$5)^13),IF(Dashboard!$B$14="Cumulative Revenue ($)",$B13*Dashboard!$B$4*IF(Dashboard!$B$5=Dashboard!$B$6,14,((1-Dashboard!$B$5+Dashboard!$B$6)^14-1)/(Dashboard!$B$6-Dashboard!$B$5)),IF(Dashboard!$B$14="LTV per Customer ($)",IF($B13&gt;0,Dashboard!$B$4*IF(Dashboard!$B$5=Dashboard!$B$6,14,((1-Dashboard!$B$5+Dashboard!$B$6)^14-1)/(Dashboard!$B$6-Dashboard!$B$5)),0),"")))))</f>
        <v>0.38929455665581436</v>
      </c>
      <c r="Q13" s="17">
        <f>IF(Dashboard!$B$14="Retention %",(1-Dashboard!$B$5)^14,IF(Dashboard!$B$14="MRR ($)",$B13*Dashboard!$B$4*(1-Dashboard!$B$5+Dashboard!$B$6)^14,IF(Dashboard!$B$14="Churned Customers",$B13*(1-(1-Dashboard!$B$5)^14),IF(Dashboard!$B$14="Cumulative Revenue ($)",$B13*Dashboard!$B$4*IF(Dashboard!$B$5=Dashboard!$B$6,15,((1-Dashboard!$B$5+Dashboard!$B$6)^15-1)/(Dashboard!$B$6-Dashboard!$B$5)),IF(Dashboard!$B$14="LTV per Customer ($)",IF($B13&gt;0,Dashboard!$B$4*IF(Dashboard!$B$5=Dashboard!$B$6,15,((1-Dashboard!$B$5+Dashboard!$B$6)^15-1)/(Dashboard!$B$6-Dashboard!$B$5)),0),"")))))</f>
        <v>0.36204393768990734</v>
      </c>
      <c r="R13" s="17">
        <f>IF(Dashboard!$B$14="Retention %",(1-Dashboard!$B$5)^15,IF(Dashboard!$B$14="MRR ($)",$B13*Dashboard!$B$4*(1-Dashboard!$B$5+Dashboard!$B$6)^15,IF(Dashboard!$B$14="Churned Customers",$B13*(1-(1-Dashboard!$B$5)^15),IF(Dashboard!$B$14="Cumulative Revenue ($)",$B13*Dashboard!$B$4*IF(Dashboard!$B$5=Dashboard!$B$6,16,((1-Dashboard!$B$5+Dashboard!$B$6)^16-1)/(Dashboard!$B$6-Dashboard!$B$5)),IF(Dashboard!$B$14="LTV per Customer ($)",IF($B13&gt;0,Dashboard!$B$4*IF(Dashboard!$B$5=Dashboard!$B$6,16,((1-Dashboard!$B$5+Dashboard!$B$6)^16-1)/(Dashboard!$B$6-Dashboard!$B$5)),0),"")))))</f>
        <v>0.33670086205161381</v>
      </c>
      <c r="S13" s="17">
        <f>IF(Dashboard!$B$14="Retention %",(1-Dashboard!$B$5)^16,IF(Dashboard!$B$14="MRR ($)",$B13*Dashboard!$B$4*(1-Dashboard!$B$5+Dashboard!$B$6)^16,IF(Dashboard!$B$14="Churned Customers",$B13*(1-(1-Dashboard!$B$5)^16),IF(Dashboard!$B$14="Cumulative Revenue ($)",$B13*Dashboard!$B$4*IF(Dashboard!$B$5=Dashboard!$B$6,17,((1-Dashboard!$B$5+Dashboard!$B$6)^17-1)/(Dashboard!$B$6-Dashboard!$B$5)),IF(Dashboard!$B$14="LTV per Customer ($)",IF($B13&gt;0,Dashboard!$B$4*IF(Dashboard!$B$5=Dashboard!$B$6,17,((1-Dashboard!$B$5+Dashboard!$B$6)^17-1)/(Dashboard!$B$6-Dashboard!$B$5)),0),"")))))</f>
        <v>0.31313180170800081</v>
      </c>
      <c r="T13" s="17">
        <f>IF(Dashboard!$B$14="Retention %",(1-Dashboard!$B$5)^17,IF(Dashboard!$B$14="MRR ($)",$B13*Dashboard!$B$4*(1-Dashboard!$B$5+Dashboard!$B$6)^17,IF(Dashboard!$B$14="Churned Customers",$B13*(1-(1-Dashboard!$B$5)^17),IF(Dashboard!$B$14="Cumulative Revenue ($)",$B13*Dashboard!$B$4*IF(Dashboard!$B$5=Dashboard!$B$6,18,((1-Dashboard!$B$5+Dashboard!$B$6)^18-1)/(Dashboard!$B$6-Dashboard!$B$5)),IF(Dashboard!$B$14="LTV per Customer ($)",IF($B13&gt;0,Dashboard!$B$4*IF(Dashboard!$B$5=Dashboard!$B$6,18,((1-Dashboard!$B$5+Dashboard!$B$6)^18-1)/(Dashboard!$B$6-Dashboard!$B$5)),0),"")))))</f>
        <v>0.29121257558844071</v>
      </c>
      <c r="U13" s="17">
        <f>IF(Dashboard!$B$14="Retention %",(1-Dashboard!$B$5)^18,IF(Dashboard!$B$14="MRR ($)",$B13*Dashboard!$B$4*(1-Dashboard!$B$5+Dashboard!$B$6)^18,IF(Dashboard!$B$14="Churned Customers",$B13*(1-(1-Dashboard!$B$5)^18),IF(Dashboard!$B$14="Cumulative Revenue ($)",$B13*Dashboard!$B$4*IF(Dashboard!$B$5=Dashboard!$B$6,19,((1-Dashboard!$B$5+Dashboard!$B$6)^19-1)/(Dashboard!$B$6-Dashboard!$B$5)),IF(Dashboard!$B$14="LTV per Customer ($)",IF($B13&gt;0,Dashboard!$B$4*IF(Dashboard!$B$5=Dashboard!$B$6,19,((1-Dashboard!$B$5+Dashboard!$B$6)^19-1)/(Dashboard!$B$6-Dashboard!$B$5)),0),"")))))</f>
        <v>0.27082769529724987</v>
      </c>
      <c r="V13" s="17">
        <f>IF(Dashboard!$B$14="Retention %",(1-Dashboard!$B$5)^19,IF(Dashboard!$B$14="MRR ($)",$B13*Dashboard!$B$4*(1-Dashboard!$B$5+Dashboard!$B$6)^19,IF(Dashboard!$B$14="Churned Customers",$B13*(1-(1-Dashboard!$B$5)^19),IF(Dashboard!$B$14="Cumulative Revenue ($)",$B13*Dashboard!$B$4*IF(Dashboard!$B$5=Dashboard!$B$6,20,((1-Dashboard!$B$5+Dashboard!$B$6)^20-1)/(Dashboard!$B$6-Dashboard!$B$5)),IF(Dashboard!$B$14="LTV per Customer ($)",IF($B13&gt;0,Dashboard!$B$4*IF(Dashboard!$B$5=Dashboard!$B$6,20,((1-Dashboard!$B$5+Dashboard!$B$6)^20-1)/(Dashboard!$B$6-Dashboard!$B$5)),0),"")))))</f>
        <v>0.2518697566264424</v>
      </c>
      <c r="W13" s="17">
        <f>IF(Dashboard!$B$14="Retention %",(1-Dashboard!$B$5)^20,IF(Dashboard!$B$14="MRR ($)",$B13*Dashboard!$B$4*(1-Dashboard!$B$5+Dashboard!$B$6)^20,IF(Dashboard!$B$14="Churned Customers",$B13*(1-(1-Dashboard!$B$5)^20),IF(Dashboard!$B$14="Cumulative Revenue ($)",$B13*Dashboard!$B$4*IF(Dashboard!$B$5=Dashboard!$B$6,21,((1-Dashboard!$B$5+Dashboard!$B$6)^21-1)/(Dashboard!$B$6-Dashboard!$B$5)),IF(Dashboard!$B$14="LTV per Customer ($)",IF($B13&gt;0,Dashboard!$B$4*IF(Dashboard!$B$5=Dashboard!$B$6,21,((1-Dashboard!$B$5+Dashboard!$B$6)^21-1)/(Dashboard!$B$6-Dashboard!$B$5)),0),"")))))</f>
        <v>0.23423887366259136</v>
      </c>
      <c r="X13" s="17">
        <f>IF(Dashboard!$B$14="Retention %",(1-Dashboard!$B$5)^21,IF(Dashboard!$B$14="MRR ($)",$B13*Dashboard!$B$4*(1-Dashboard!$B$5+Dashboard!$B$6)^21,IF(Dashboard!$B$14="Churned Customers",$B13*(1-(1-Dashboard!$B$5)^21),IF(Dashboard!$B$14="Cumulative Revenue ($)",$B13*Dashboard!$B$4*IF(Dashboard!$B$5=Dashboard!$B$6,22,((1-Dashboard!$B$5+Dashboard!$B$6)^22-1)/(Dashboard!$B$6-Dashboard!$B$5)),IF(Dashboard!$B$14="LTV per Customer ($)",IF($B13&gt;0,Dashboard!$B$4*IF(Dashboard!$B$5=Dashboard!$B$6,22,((1-Dashboard!$B$5+Dashboard!$B$6)^22-1)/(Dashboard!$B$6-Dashboard!$B$5)),0),"")))))</f>
        <v>0.21784215250620997</v>
      </c>
      <c r="Y13" s="17">
        <f>IF(Dashboard!$B$14="Retention %",(1-Dashboard!$B$5)^22,IF(Dashboard!$B$14="MRR ($)",$B13*Dashboard!$B$4*(1-Dashboard!$B$5+Dashboard!$B$6)^22,IF(Dashboard!$B$14="Churned Customers",$B13*(1-(1-Dashboard!$B$5)^22),IF(Dashboard!$B$14="Cumulative Revenue ($)",$B13*Dashboard!$B$4*IF(Dashboard!$B$5=Dashboard!$B$6,23,((1-Dashboard!$B$5+Dashboard!$B$6)^23-1)/(Dashboard!$B$6-Dashboard!$B$5)),IF(Dashboard!$B$14="LTV per Customer ($)",IF($B13&gt;0,Dashboard!$B$4*IF(Dashboard!$B$5=Dashboard!$B$6,23,((1-Dashboard!$B$5+Dashboard!$B$6)^23-1)/(Dashboard!$B$6-Dashboard!$B$5)),0),"")))))</f>
        <v>0.20259320183077525</v>
      </c>
      <c r="Z13" s="17">
        <f>IF(Dashboard!$B$14="Retention %",(1-Dashboard!$B$5)^23,IF(Dashboard!$B$14="MRR ($)",$B13*Dashboard!$B$4*(1-Dashboard!$B$5+Dashboard!$B$6)^23,IF(Dashboard!$B$14="Churned Customers",$B13*(1-(1-Dashboard!$B$5)^23),IF(Dashboard!$B$14="Cumulative Revenue ($)",$B13*Dashboard!$B$4*IF(Dashboard!$B$5=Dashboard!$B$6,24,((1-Dashboard!$B$5+Dashboard!$B$6)^24-1)/(Dashboard!$B$6-Dashboard!$B$5)),IF(Dashboard!$B$14="LTV per Customer ($)",IF($B13&gt;0,Dashboard!$B$4*IF(Dashboard!$B$5=Dashboard!$B$6,24,((1-Dashboard!$B$5+Dashboard!$B$6)^24-1)/(Dashboard!$B$6-Dashboard!$B$5)),0),"")))))</f>
        <v>0.18841167770262096</v>
      </c>
      <c r="AA13" s="17">
        <f>IF(Dashboard!$B$14="Retention %",(1-Dashboard!$B$5)^24,IF(Dashboard!$B$14="MRR ($)",$B13*Dashboard!$B$4*(1-Dashboard!$B$5+Dashboard!$B$6)^24,IF(Dashboard!$B$14="Churned Customers",$B13*(1-(1-Dashboard!$B$5)^24),IF(Dashboard!$B$14="Cumulative Revenue ($)",$B13*Dashboard!$B$4*IF(Dashboard!$B$5=Dashboard!$B$6,25,((1-Dashboard!$B$5+Dashboard!$B$6)^25-1)/(Dashboard!$B$6-Dashboard!$B$5)),IF(Dashboard!$B$14="LTV per Customer ($)",IF($B13&gt;0,Dashboard!$B$4*IF(Dashboard!$B$5=Dashboard!$B$6,25,((1-Dashboard!$B$5+Dashboard!$B$6)^25-1)/(Dashboard!$B$6-Dashboard!$B$5)),0),"")))))</f>
        <v>0.1752228602634375</v>
      </c>
      <c r="AB13" s="17">
        <f>IF(Dashboard!$B$14="Retention %",(1-Dashboard!$B$5)^25,IF(Dashboard!$B$14="MRR ($)",$B13*Dashboard!$B$4*(1-Dashboard!$B$5+Dashboard!$B$6)^25,IF(Dashboard!$B$14="Churned Customers",$B13*(1-(1-Dashboard!$B$5)^25),IF(Dashboard!$B$14="Cumulative Revenue ($)",$B13*Dashboard!$B$4*IF(Dashboard!$B$5=Dashboard!$B$6,26,((1-Dashboard!$B$5+Dashboard!$B$6)^26-1)/(Dashboard!$B$6-Dashboard!$B$5)),IF(Dashboard!$B$14="LTV per Customer ($)",IF($B13&gt;0,Dashboard!$B$4*IF(Dashboard!$B$5=Dashboard!$B$6,26,((1-Dashboard!$B$5+Dashboard!$B$6)^26-1)/(Dashboard!$B$6-Dashboard!$B$5)),0),"")))))</f>
        <v>0.16295726004499683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22"/>
    </row>
    <row r="14" spans="1:38" x14ac:dyDescent="0.35">
      <c r="A14" s="40" t="s">
        <v>96</v>
      </c>
      <c r="B14" s="44">
        <v>2</v>
      </c>
      <c r="C14" s="46">
        <f>IF(Dashboard!$B$14="Retention %",1,IF(Dashboard!$B$14="MRR ($)",$B14*Dashboard!$B$4,IF(Dashboard!$B$14="Churned Customers",0,IF(Dashboard!$B$14="Cumulative Revenue ($)",$B14*Dashboard!$B$4,IF(Dashboard!$B$14="LTV per Customer ($)",IF($B14&gt;0,Dashboard!$B$4,0),"")))))</f>
        <v>1</v>
      </c>
      <c r="D14" s="36">
        <f>IF(Dashboard!$B$14="Retention %",(1-Dashboard!$B$5)^1,IF(Dashboard!$B$14="MRR ($)",$B14*Dashboard!$B$4*(1-Dashboard!$B$5+Dashboard!$B$6)^1,IF(Dashboard!$B$14="Churned Customers",$B14*(1-(1-Dashboard!$B$5)^1),IF(Dashboard!$B$14="Cumulative Revenue ($)",$B14*Dashboard!$B$4*IF(Dashboard!$B$5=Dashboard!$B$6,2,((1-Dashboard!$B$5+Dashboard!$B$6)^2-1)/(Dashboard!$B$6-Dashboard!$B$5)),IF(Dashboard!$B$14="LTV per Customer ($)",IF($B14&gt;0,Dashboard!$B$4*IF(Dashboard!$B$5=Dashboard!$B$6,2,((1-Dashboard!$B$5+Dashboard!$B$6)^2-1)/(Dashboard!$B$6-Dashboard!$B$5)),0),"")))))</f>
        <v>0.92999999999999994</v>
      </c>
      <c r="E14" s="36">
        <f>IF(Dashboard!$B$14="Retention %",(1-Dashboard!$B$5)^2,IF(Dashboard!$B$14="MRR ($)",$B14*Dashboard!$B$4*(1-Dashboard!$B$5+Dashboard!$B$6)^2,IF(Dashboard!$B$14="Churned Customers",$B14*(1-(1-Dashboard!$B$5)^2),IF(Dashboard!$B$14="Cumulative Revenue ($)",$B14*Dashboard!$B$4*IF(Dashboard!$B$5=Dashboard!$B$6,3,((1-Dashboard!$B$5+Dashboard!$B$6)^3-1)/(Dashboard!$B$6-Dashboard!$B$5)),IF(Dashboard!$B$14="LTV per Customer ($)",IF($B14&gt;0,Dashboard!$B$4*IF(Dashboard!$B$5=Dashboard!$B$6,3,((1-Dashboard!$B$5+Dashboard!$B$6)^3-1)/(Dashboard!$B$6-Dashboard!$B$5)),0),"")))))</f>
        <v>0.86489999999999989</v>
      </c>
      <c r="F14" s="36">
        <f>IF(Dashboard!$B$14="Retention %",(1-Dashboard!$B$5)^3,IF(Dashboard!$B$14="MRR ($)",$B14*Dashboard!$B$4*(1-Dashboard!$B$5+Dashboard!$B$6)^3,IF(Dashboard!$B$14="Churned Customers",$B14*(1-(1-Dashboard!$B$5)^3),IF(Dashboard!$B$14="Cumulative Revenue ($)",$B14*Dashboard!$B$4*IF(Dashboard!$B$5=Dashboard!$B$6,4,((1-Dashboard!$B$5+Dashboard!$B$6)^4-1)/(Dashboard!$B$6-Dashboard!$B$5)),IF(Dashboard!$B$14="LTV per Customer ($)",IF($B14&gt;0,Dashboard!$B$4*IF(Dashboard!$B$5=Dashboard!$B$6,4,((1-Dashboard!$B$5+Dashboard!$B$6)^4-1)/(Dashboard!$B$6-Dashboard!$B$5)),0),"")))))</f>
        <v>0.80435699999999988</v>
      </c>
      <c r="G14" s="36">
        <f>IF(Dashboard!$B$14="Retention %",(1-Dashboard!$B$5)^4,IF(Dashboard!$B$14="MRR ($)",$B14*Dashboard!$B$4*(1-Dashboard!$B$5+Dashboard!$B$6)^4,IF(Dashboard!$B$14="Churned Customers",$B14*(1-(1-Dashboard!$B$5)^4),IF(Dashboard!$B$14="Cumulative Revenue ($)",$B14*Dashboard!$B$4*IF(Dashboard!$B$5=Dashboard!$B$6,5,((1-Dashboard!$B$5+Dashboard!$B$6)^5-1)/(Dashboard!$B$6-Dashboard!$B$5)),IF(Dashboard!$B$14="LTV per Customer ($)",IF($B14&gt;0,Dashboard!$B$4*IF(Dashboard!$B$5=Dashboard!$B$6,5,((1-Dashboard!$B$5+Dashboard!$B$6)^5-1)/(Dashboard!$B$6-Dashboard!$B$5)),0),"")))))</f>
        <v>0.74805200999999977</v>
      </c>
      <c r="H14" s="36">
        <f>IF(Dashboard!$B$14="Retention %",(1-Dashboard!$B$5)^5,IF(Dashboard!$B$14="MRR ($)",$B14*Dashboard!$B$4*(1-Dashboard!$B$5+Dashboard!$B$6)^5,IF(Dashboard!$B$14="Churned Customers",$B14*(1-(1-Dashboard!$B$5)^5),IF(Dashboard!$B$14="Cumulative Revenue ($)",$B14*Dashboard!$B$4*IF(Dashboard!$B$5=Dashboard!$B$6,6,((1-Dashboard!$B$5+Dashboard!$B$6)^6-1)/(Dashboard!$B$6-Dashboard!$B$5)),IF(Dashboard!$B$14="LTV per Customer ($)",IF($B14&gt;0,Dashboard!$B$4*IF(Dashboard!$B$5=Dashboard!$B$6,6,((1-Dashboard!$B$5+Dashboard!$B$6)^6-1)/(Dashboard!$B$6-Dashboard!$B$5)),0),"")))))</f>
        <v>0.69568836929999978</v>
      </c>
      <c r="I14" s="36">
        <f>IF(Dashboard!$B$14="Retention %",(1-Dashboard!$B$5)^6,IF(Dashboard!$B$14="MRR ($)",$B14*Dashboard!$B$4*(1-Dashboard!$B$5+Dashboard!$B$6)^6,IF(Dashboard!$B$14="Churned Customers",$B14*(1-(1-Dashboard!$B$5)^6),IF(Dashboard!$B$14="Cumulative Revenue ($)",$B14*Dashboard!$B$4*IF(Dashboard!$B$5=Dashboard!$B$6,7,((1-Dashboard!$B$5+Dashboard!$B$6)^7-1)/(Dashboard!$B$6-Dashboard!$B$5)),IF(Dashboard!$B$14="LTV per Customer ($)",IF($B14&gt;0,Dashboard!$B$4*IF(Dashboard!$B$5=Dashboard!$B$6,7,((1-Dashboard!$B$5+Dashboard!$B$6)^7-1)/(Dashboard!$B$6-Dashboard!$B$5)),0),"")))))</f>
        <v>0.64699018344899972</v>
      </c>
      <c r="J14" s="36">
        <f>IF(Dashboard!$B$14="Retention %",(1-Dashboard!$B$5)^7,IF(Dashboard!$B$14="MRR ($)",$B14*Dashboard!$B$4*(1-Dashboard!$B$5+Dashboard!$B$6)^7,IF(Dashboard!$B$14="Churned Customers",$B14*(1-(1-Dashboard!$B$5)^7),IF(Dashboard!$B$14="Cumulative Revenue ($)",$B14*Dashboard!$B$4*IF(Dashboard!$B$5=Dashboard!$B$6,8,((1-Dashboard!$B$5+Dashboard!$B$6)^8-1)/(Dashboard!$B$6-Dashboard!$B$5)),IF(Dashboard!$B$14="LTV per Customer ($)",IF($B14&gt;0,Dashboard!$B$4*IF(Dashboard!$B$5=Dashboard!$B$6,8,((1-Dashboard!$B$5+Dashboard!$B$6)^8-1)/(Dashboard!$B$6-Dashboard!$B$5)),0),"")))))</f>
        <v>0.60170087060756972</v>
      </c>
      <c r="K14" s="36">
        <f>IF(Dashboard!$B$14="Retention %",(1-Dashboard!$B$5)^8,IF(Dashboard!$B$14="MRR ($)",$B14*Dashboard!$B$4*(1-Dashboard!$B$5+Dashboard!$B$6)^8,IF(Dashboard!$B$14="Churned Customers",$B14*(1-(1-Dashboard!$B$5)^8),IF(Dashboard!$B$14="Cumulative Revenue ($)",$B14*Dashboard!$B$4*IF(Dashboard!$B$5=Dashboard!$B$6,9,((1-Dashboard!$B$5+Dashboard!$B$6)^9-1)/(Dashboard!$B$6-Dashboard!$B$5)),IF(Dashboard!$B$14="LTV per Customer ($)",IF($B14&gt;0,Dashboard!$B$4*IF(Dashboard!$B$5=Dashboard!$B$6,9,((1-Dashboard!$B$5+Dashboard!$B$6)^9-1)/(Dashboard!$B$6-Dashboard!$B$5)),0),"")))))</f>
        <v>0.55958180966503979</v>
      </c>
      <c r="L14" s="36">
        <f>IF(Dashboard!$B$14="Retention %",(1-Dashboard!$B$5)^9,IF(Dashboard!$B$14="MRR ($)",$B14*Dashboard!$B$4*(1-Dashboard!$B$5+Dashboard!$B$6)^9,IF(Dashboard!$B$14="Churned Customers",$B14*(1-(1-Dashboard!$B$5)^9),IF(Dashboard!$B$14="Cumulative Revenue ($)",$B14*Dashboard!$B$4*IF(Dashboard!$B$5=Dashboard!$B$6,10,((1-Dashboard!$B$5+Dashboard!$B$6)^10-1)/(Dashboard!$B$6-Dashboard!$B$5)),IF(Dashboard!$B$14="LTV per Customer ($)",IF($B14&gt;0,Dashboard!$B$4*IF(Dashboard!$B$5=Dashboard!$B$6,10,((1-Dashboard!$B$5+Dashboard!$B$6)^10-1)/(Dashboard!$B$6-Dashboard!$B$5)),0),"")))))</f>
        <v>0.52041108298848693</v>
      </c>
      <c r="M14" s="16">
        <f>IF(Dashboard!$B$14="Retention %",(1-Dashboard!$B$5)^10,IF(Dashboard!$B$14="MRR ($)",$B14*Dashboard!$B$4*(1-Dashboard!$B$5+Dashboard!$B$6)^10,IF(Dashboard!$B$14="Churned Customers",$B14*(1-(1-Dashboard!$B$5)^10),IF(Dashboard!$B$14="Cumulative Revenue ($)",$B14*Dashboard!$B$4*IF(Dashboard!$B$5=Dashboard!$B$6,11,((1-Dashboard!$B$5+Dashboard!$B$6)^11-1)/(Dashboard!$B$6-Dashboard!$B$5)),IF(Dashboard!$B$14="LTV per Customer ($)",IF($B14&gt;0,Dashboard!$B$4*IF(Dashboard!$B$5=Dashboard!$B$6,11,((1-Dashboard!$B$5+Dashboard!$B$6)^11-1)/(Dashboard!$B$6-Dashboard!$B$5)),0),"")))))</f>
        <v>0.48398230717929286</v>
      </c>
      <c r="N14" s="16">
        <f>IF(Dashboard!$B$14="Retention %",(1-Dashboard!$B$5)^11,IF(Dashboard!$B$14="MRR ($)",$B14*Dashboard!$B$4*(1-Dashboard!$B$5+Dashboard!$B$6)^11,IF(Dashboard!$B$14="Churned Customers",$B14*(1-(1-Dashboard!$B$5)^11),IF(Dashboard!$B$14="Cumulative Revenue ($)",$B14*Dashboard!$B$4*IF(Dashboard!$B$5=Dashboard!$B$6,12,((1-Dashboard!$B$5+Dashboard!$B$6)^12-1)/(Dashboard!$B$6-Dashboard!$B$5)),IF(Dashboard!$B$14="LTV per Customer ($)",IF($B14&gt;0,Dashboard!$B$4*IF(Dashboard!$B$5=Dashboard!$B$6,12,((1-Dashboard!$B$5+Dashboard!$B$6)^12-1)/(Dashboard!$B$6-Dashboard!$B$5)),0),"")))))</f>
        <v>0.45010354567674232</v>
      </c>
      <c r="O14" s="16">
        <f>IF(Dashboard!$B$14="Retention %",(1-Dashboard!$B$5)^12,IF(Dashboard!$B$14="MRR ($)",$B14*Dashboard!$B$4*(1-Dashboard!$B$5+Dashboard!$B$6)^12,IF(Dashboard!$B$14="Churned Customers",$B14*(1-(1-Dashboard!$B$5)^12),IF(Dashboard!$B$14="Cumulative Revenue ($)",$B14*Dashboard!$B$4*IF(Dashboard!$B$5=Dashboard!$B$6,13,((1-Dashboard!$B$5+Dashboard!$B$6)^13-1)/(Dashboard!$B$6-Dashboard!$B$5)),IF(Dashboard!$B$14="LTV per Customer ($)",IF($B14&gt;0,Dashboard!$B$4*IF(Dashboard!$B$5=Dashboard!$B$6,13,((1-Dashboard!$B$5+Dashboard!$B$6)^13-1)/(Dashboard!$B$6-Dashboard!$B$5)),0),"")))))</f>
        <v>0.41859629747937033</v>
      </c>
      <c r="P14" s="16">
        <f>IF(Dashboard!$B$14="Retention %",(1-Dashboard!$B$5)^13,IF(Dashboard!$B$14="MRR ($)",$B14*Dashboard!$B$4*(1-Dashboard!$B$5+Dashboard!$B$6)^13,IF(Dashboard!$B$14="Churned Customers",$B14*(1-(1-Dashboard!$B$5)^13),IF(Dashboard!$B$14="Cumulative Revenue ($)",$B14*Dashboard!$B$4*IF(Dashboard!$B$5=Dashboard!$B$6,14,((1-Dashboard!$B$5+Dashboard!$B$6)^14-1)/(Dashboard!$B$6-Dashboard!$B$5)),IF(Dashboard!$B$14="LTV per Customer ($)",IF($B14&gt;0,Dashboard!$B$4*IF(Dashboard!$B$5=Dashboard!$B$6,14,((1-Dashboard!$B$5+Dashboard!$B$6)^14-1)/(Dashboard!$B$6-Dashboard!$B$5)),0),"")))))</f>
        <v>0.38929455665581436</v>
      </c>
      <c r="Q14" s="16">
        <f>IF(Dashboard!$B$14="Retention %",(1-Dashboard!$B$5)^14,IF(Dashboard!$B$14="MRR ($)",$B14*Dashboard!$B$4*(1-Dashboard!$B$5+Dashboard!$B$6)^14,IF(Dashboard!$B$14="Churned Customers",$B14*(1-(1-Dashboard!$B$5)^14),IF(Dashboard!$B$14="Cumulative Revenue ($)",$B14*Dashboard!$B$4*IF(Dashboard!$B$5=Dashboard!$B$6,15,((1-Dashboard!$B$5+Dashboard!$B$6)^15-1)/(Dashboard!$B$6-Dashboard!$B$5)),IF(Dashboard!$B$14="LTV per Customer ($)",IF($B14&gt;0,Dashboard!$B$4*IF(Dashboard!$B$5=Dashboard!$B$6,15,((1-Dashboard!$B$5+Dashboard!$B$6)^15-1)/(Dashboard!$B$6-Dashboard!$B$5)),0),"")))))</f>
        <v>0.36204393768990734</v>
      </c>
      <c r="R14" s="16">
        <f>IF(Dashboard!$B$14="Retention %",(1-Dashboard!$B$5)^15,IF(Dashboard!$B$14="MRR ($)",$B14*Dashboard!$B$4*(1-Dashboard!$B$5+Dashboard!$B$6)^15,IF(Dashboard!$B$14="Churned Customers",$B14*(1-(1-Dashboard!$B$5)^15),IF(Dashboard!$B$14="Cumulative Revenue ($)",$B14*Dashboard!$B$4*IF(Dashboard!$B$5=Dashboard!$B$6,16,((1-Dashboard!$B$5+Dashboard!$B$6)^16-1)/(Dashboard!$B$6-Dashboard!$B$5)),IF(Dashboard!$B$14="LTV per Customer ($)",IF($B14&gt;0,Dashboard!$B$4*IF(Dashboard!$B$5=Dashboard!$B$6,16,((1-Dashboard!$B$5+Dashboard!$B$6)^16-1)/(Dashboard!$B$6-Dashboard!$B$5)),0),"")))))</f>
        <v>0.33670086205161381</v>
      </c>
      <c r="S14" s="16">
        <f>IF(Dashboard!$B$14="Retention %",(1-Dashboard!$B$5)^16,IF(Dashboard!$B$14="MRR ($)",$B14*Dashboard!$B$4*(1-Dashboard!$B$5+Dashboard!$B$6)^16,IF(Dashboard!$B$14="Churned Customers",$B14*(1-(1-Dashboard!$B$5)^16),IF(Dashboard!$B$14="Cumulative Revenue ($)",$B14*Dashboard!$B$4*IF(Dashboard!$B$5=Dashboard!$B$6,17,((1-Dashboard!$B$5+Dashboard!$B$6)^17-1)/(Dashboard!$B$6-Dashboard!$B$5)),IF(Dashboard!$B$14="LTV per Customer ($)",IF($B14&gt;0,Dashboard!$B$4*IF(Dashboard!$B$5=Dashboard!$B$6,17,((1-Dashboard!$B$5+Dashboard!$B$6)^17-1)/(Dashboard!$B$6-Dashboard!$B$5)),0),"")))))</f>
        <v>0.31313180170800081</v>
      </c>
      <c r="T14" s="16">
        <f>IF(Dashboard!$B$14="Retention %",(1-Dashboard!$B$5)^17,IF(Dashboard!$B$14="MRR ($)",$B14*Dashboard!$B$4*(1-Dashboard!$B$5+Dashboard!$B$6)^17,IF(Dashboard!$B$14="Churned Customers",$B14*(1-(1-Dashboard!$B$5)^17),IF(Dashboard!$B$14="Cumulative Revenue ($)",$B14*Dashboard!$B$4*IF(Dashboard!$B$5=Dashboard!$B$6,18,((1-Dashboard!$B$5+Dashboard!$B$6)^18-1)/(Dashboard!$B$6-Dashboard!$B$5)),IF(Dashboard!$B$14="LTV per Customer ($)",IF($B14&gt;0,Dashboard!$B$4*IF(Dashboard!$B$5=Dashboard!$B$6,18,((1-Dashboard!$B$5+Dashboard!$B$6)^18-1)/(Dashboard!$B$6-Dashboard!$B$5)),0),"")))))</f>
        <v>0.29121257558844071</v>
      </c>
      <c r="U14" s="16">
        <f>IF(Dashboard!$B$14="Retention %",(1-Dashboard!$B$5)^18,IF(Dashboard!$B$14="MRR ($)",$B14*Dashboard!$B$4*(1-Dashboard!$B$5+Dashboard!$B$6)^18,IF(Dashboard!$B$14="Churned Customers",$B14*(1-(1-Dashboard!$B$5)^18),IF(Dashboard!$B$14="Cumulative Revenue ($)",$B14*Dashboard!$B$4*IF(Dashboard!$B$5=Dashboard!$B$6,19,((1-Dashboard!$B$5+Dashboard!$B$6)^19-1)/(Dashboard!$B$6-Dashboard!$B$5)),IF(Dashboard!$B$14="LTV per Customer ($)",IF($B14&gt;0,Dashboard!$B$4*IF(Dashboard!$B$5=Dashboard!$B$6,19,((1-Dashboard!$B$5+Dashboard!$B$6)^19-1)/(Dashboard!$B$6-Dashboard!$B$5)),0),"")))))</f>
        <v>0.27082769529724987</v>
      </c>
      <c r="V14" s="16">
        <f>IF(Dashboard!$B$14="Retention %",(1-Dashboard!$B$5)^19,IF(Dashboard!$B$14="MRR ($)",$B14*Dashboard!$B$4*(1-Dashboard!$B$5+Dashboard!$B$6)^19,IF(Dashboard!$B$14="Churned Customers",$B14*(1-(1-Dashboard!$B$5)^19),IF(Dashboard!$B$14="Cumulative Revenue ($)",$B14*Dashboard!$B$4*IF(Dashboard!$B$5=Dashboard!$B$6,20,((1-Dashboard!$B$5+Dashboard!$B$6)^20-1)/(Dashboard!$B$6-Dashboard!$B$5)),IF(Dashboard!$B$14="LTV per Customer ($)",IF($B14&gt;0,Dashboard!$B$4*IF(Dashboard!$B$5=Dashboard!$B$6,20,((1-Dashboard!$B$5+Dashboard!$B$6)^20-1)/(Dashboard!$B$6-Dashboard!$B$5)),0),"")))))</f>
        <v>0.2518697566264424</v>
      </c>
      <c r="W14" s="16">
        <f>IF(Dashboard!$B$14="Retention %",(1-Dashboard!$B$5)^20,IF(Dashboard!$B$14="MRR ($)",$B14*Dashboard!$B$4*(1-Dashboard!$B$5+Dashboard!$B$6)^20,IF(Dashboard!$B$14="Churned Customers",$B14*(1-(1-Dashboard!$B$5)^20),IF(Dashboard!$B$14="Cumulative Revenue ($)",$B14*Dashboard!$B$4*IF(Dashboard!$B$5=Dashboard!$B$6,21,((1-Dashboard!$B$5+Dashboard!$B$6)^21-1)/(Dashboard!$B$6-Dashboard!$B$5)),IF(Dashboard!$B$14="LTV per Customer ($)",IF($B14&gt;0,Dashboard!$B$4*IF(Dashboard!$B$5=Dashboard!$B$6,21,((1-Dashboard!$B$5+Dashboard!$B$6)^21-1)/(Dashboard!$B$6-Dashboard!$B$5)),0),"")))))</f>
        <v>0.23423887366259136</v>
      </c>
      <c r="X14" s="16">
        <f>IF(Dashboard!$B$14="Retention %",(1-Dashboard!$B$5)^21,IF(Dashboard!$B$14="MRR ($)",$B14*Dashboard!$B$4*(1-Dashboard!$B$5+Dashboard!$B$6)^21,IF(Dashboard!$B$14="Churned Customers",$B14*(1-(1-Dashboard!$B$5)^21),IF(Dashboard!$B$14="Cumulative Revenue ($)",$B14*Dashboard!$B$4*IF(Dashboard!$B$5=Dashboard!$B$6,22,((1-Dashboard!$B$5+Dashboard!$B$6)^22-1)/(Dashboard!$B$6-Dashboard!$B$5)),IF(Dashboard!$B$14="LTV per Customer ($)",IF($B14&gt;0,Dashboard!$B$4*IF(Dashboard!$B$5=Dashboard!$B$6,22,((1-Dashboard!$B$5+Dashboard!$B$6)^22-1)/(Dashboard!$B$6-Dashboard!$B$5)),0),"")))))</f>
        <v>0.21784215250620997</v>
      </c>
      <c r="Y14" s="16">
        <f>IF(Dashboard!$B$14="Retention %",(1-Dashboard!$B$5)^22,IF(Dashboard!$B$14="MRR ($)",$B14*Dashboard!$B$4*(1-Dashboard!$B$5+Dashboard!$B$6)^22,IF(Dashboard!$B$14="Churned Customers",$B14*(1-(1-Dashboard!$B$5)^22),IF(Dashboard!$B$14="Cumulative Revenue ($)",$B14*Dashboard!$B$4*IF(Dashboard!$B$5=Dashboard!$B$6,23,((1-Dashboard!$B$5+Dashboard!$B$6)^23-1)/(Dashboard!$B$6-Dashboard!$B$5)),IF(Dashboard!$B$14="LTV per Customer ($)",IF($B14&gt;0,Dashboard!$B$4*IF(Dashboard!$B$5=Dashboard!$B$6,23,((1-Dashboard!$B$5+Dashboard!$B$6)^23-1)/(Dashboard!$B$6-Dashboard!$B$5)),0),"")))))</f>
        <v>0.20259320183077525</v>
      </c>
      <c r="Z14" s="16">
        <f>IF(Dashboard!$B$14="Retention %",(1-Dashboard!$B$5)^23,IF(Dashboard!$B$14="MRR ($)",$B14*Dashboard!$B$4*(1-Dashboard!$B$5+Dashboard!$B$6)^23,IF(Dashboard!$B$14="Churned Customers",$B14*(1-(1-Dashboard!$B$5)^23),IF(Dashboard!$B$14="Cumulative Revenue ($)",$B14*Dashboard!$B$4*IF(Dashboard!$B$5=Dashboard!$B$6,24,((1-Dashboard!$B$5+Dashboard!$B$6)^24-1)/(Dashboard!$B$6-Dashboard!$B$5)),IF(Dashboard!$B$14="LTV per Customer ($)",IF($B14&gt;0,Dashboard!$B$4*IF(Dashboard!$B$5=Dashboard!$B$6,24,((1-Dashboard!$B$5+Dashboard!$B$6)^24-1)/(Dashboard!$B$6-Dashboard!$B$5)),0),"")))))</f>
        <v>0.18841167770262096</v>
      </c>
      <c r="AA14" s="16">
        <f>IF(Dashboard!$B$14="Retention %",(1-Dashboard!$B$5)^24,IF(Dashboard!$B$14="MRR ($)",$B14*Dashboard!$B$4*(1-Dashboard!$B$5+Dashboard!$B$6)^24,IF(Dashboard!$B$14="Churned Customers",$B14*(1-(1-Dashboard!$B$5)^24),IF(Dashboard!$B$14="Cumulative Revenue ($)",$B14*Dashboard!$B$4*IF(Dashboard!$B$5=Dashboard!$B$6,25,((1-Dashboard!$B$5+Dashboard!$B$6)^25-1)/(Dashboard!$B$6-Dashboard!$B$5)),IF(Dashboard!$B$14="LTV per Customer ($)",IF($B14&gt;0,Dashboard!$B$4*IF(Dashboard!$B$5=Dashboard!$B$6,25,((1-Dashboard!$B$5+Dashboard!$B$6)^25-1)/(Dashboard!$B$6-Dashboard!$B$5)),0),"")))))</f>
        <v>0.1752228602634375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21"/>
    </row>
    <row r="15" spans="1:38" x14ac:dyDescent="0.35">
      <c r="A15" s="40" t="s">
        <v>97</v>
      </c>
      <c r="B15" s="44">
        <v>2</v>
      </c>
      <c r="C15" s="46">
        <f>IF(Dashboard!$B$14="Retention %",1,IF(Dashboard!$B$14="MRR ($)",$B15*Dashboard!$B$4,IF(Dashboard!$B$14="Churned Customers",0,IF(Dashboard!$B$14="Cumulative Revenue ($)",$B15*Dashboard!$B$4,IF(Dashboard!$B$14="LTV per Customer ($)",IF($B15&gt;0,Dashboard!$B$4,0),"")))))</f>
        <v>1</v>
      </c>
      <c r="D15" s="37">
        <f>IF(Dashboard!$B$14="Retention %",(1-Dashboard!$B$5)^1,IF(Dashboard!$B$14="MRR ($)",$B15*Dashboard!$B$4*(1-Dashboard!$B$5+Dashboard!$B$6)^1,IF(Dashboard!$B$14="Churned Customers",$B15*(1-(1-Dashboard!$B$5)^1),IF(Dashboard!$B$14="Cumulative Revenue ($)",$B15*Dashboard!$B$4*IF(Dashboard!$B$5=Dashboard!$B$6,2,((1-Dashboard!$B$5+Dashboard!$B$6)^2-1)/(Dashboard!$B$6-Dashboard!$B$5)),IF(Dashboard!$B$14="LTV per Customer ($)",IF($B15&gt;0,Dashboard!$B$4*IF(Dashboard!$B$5=Dashboard!$B$6,2,((1-Dashboard!$B$5+Dashboard!$B$6)^2-1)/(Dashboard!$B$6-Dashboard!$B$5)),0),"")))))</f>
        <v>0.92999999999999994</v>
      </c>
      <c r="E15" s="37">
        <f>IF(Dashboard!$B$14="Retention %",(1-Dashboard!$B$5)^2,IF(Dashboard!$B$14="MRR ($)",$B15*Dashboard!$B$4*(1-Dashboard!$B$5+Dashboard!$B$6)^2,IF(Dashboard!$B$14="Churned Customers",$B15*(1-(1-Dashboard!$B$5)^2),IF(Dashboard!$B$14="Cumulative Revenue ($)",$B15*Dashboard!$B$4*IF(Dashboard!$B$5=Dashboard!$B$6,3,((1-Dashboard!$B$5+Dashboard!$B$6)^3-1)/(Dashboard!$B$6-Dashboard!$B$5)),IF(Dashboard!$B$14="LTV per Customer ($)",IF($B15&gt;0,Dashboard!$B$4*IF(Dashboard!$B$5=Dashboard!$B$6,3,((1-Dashboard!$B$5+Dashboard!$B$6)^3-1)/(Dashboard!$B$6-Dashboard!$B$5)),0),"")))))</f>
        <v>0.86489999999999989</v>
      </c>
      <c r="F15" s="37">
        <f>IF(Dashboard!$B$14="Retention %",(1-Dashboard!$B$5)^3,IF(Dashboard!$B$14="MRR ($)",$B15*Dashboard!$B$4*(1-Dashboard!$B$5+Dashboard!$B$6)^3,IF(Dashboard!$B$14="Churned Customers",$B15*(1-(1-Dashboard!$B$5)^3),IF(Dashboard!$B$14="Cumulative Revenue ($)",$B15*Dashboard!$B$4*IF(Dashboard!$B$5=Dashboard!$B$6,4,((1-Dashboard!$B$5+Dashboard!$B$6)^4-1)/(Dashboard!$B$6-Dashboard!$B$5)),IF(Dashboard!$B$14="LTV per Customer ($)",IF($B15&gt;0,Dashboard!$B$4*IF(Dashboard!$B$5=Dashboard!$B$6,4,((1-Dashboard!$B$5+Dashboard!$B$6)^4-1)/(Dashboard!$B$6-Dashboard!$B$5)),0),"")))))</f>
        <v>0.80435699999999988</v>
      </c>
      <c r="G15" s="37">
        <f>IF(Dashboard!$B$14="Retention %",(1-Dashboard!$B$5)^4,IF(Dashboard!$B$14="MRR ($)",$B15*Dashboard!$B$4*(1-Dashboard!$B$5+Dashboard!$B$6)^4,IF(Dashboard!$B$14="Churned Customers",$B15*(1-(1-Dashboard!$B$5)^4),IF(Dashboard!$B$14="Cumulative Revenue ($)",$B15*Dashboard!$B$4*IF(Dashboard!$B$5=Dashboard!$B$6,5,((1-Dashboard!$B$5+Dashboard!$B$6)^5-1)/(Dashboard!$B$6-Dashboard!$B$5)),IF(Dashboard!$B$14="LTV per Customer ($)",IF($B15&gt;0,Dashboard!$B$4*IF(Dashboard!$B$5=Dashboard!$B$6,5,((1-Dashboard!$B$5+Dashboard!$B$6)^5-1)/(Dashboard!$B$6-Dashboard!$B$5)),0),"")))))</f>
        <v>0.74805200999999977</v>
      </c>
      <c r="H15" s="37">
        <f>IF(Dashboard!$B$14="Retention %",(1-Dashboard!$B$5)^5,IF(Dashboard!$B$14="MRR ($)",$B15*Dashboard!$B$4*(1-Dashboard!$B$5+Dashboard!$B$6)^5,IF(Dashboard!$B$14="Churned Customers",$B15*(1-(1-Dashboard!$B$5)^5),IF(Dashboard!$B$14="Cumulative Revenue ($)",$B15*Dashboard!$B$4*IF(Dashboard!$B$5=Dashboard!$B$6,6,((1-Dashboard!$B$5+Dashboard!$B$6)^6-1)/(Dashboard!$B$6-Dashboard!$B$5)),IF(Dashboard!$B$14="LTV per Customer ($)",IF($B15&gt;0,Dashboard!$B$4*IF(Dashboard!$B$5=Dashboard!$B$6,6,((1-Dashboard!$B$5+Dashboard!$B$6)^6-1)/(Dashboard!$B$6-Dashboard!$B$5)),0),"")))))</f>
        <v>0.69568836929999978</v>
      </c>
      <c r="I15" s="37">
        <f>IF(Dashboard!$B$14="Retention %",(1-Dashboard!$B$5)^6,IF(Dashboard!$B$14="MRR ($)",$B15*Dashboard!$B$4*(1-Dashboard!$B$5+Dashboard!$B$6)^6,IF(Dashboard!$B$14="Churned Customers",$B15*(1-(1-Dashboard!$B$5)^6),IF(Dashboard!$B$14="Cumulative Revenue ($)",$B15*Dashboard!$B$4*IF(Dashboard!$B$5=Dashboard!$B$6,7,((1-Dashboard!$B$5+Dashboard!$B$6)^7-1)/(Dashboard!$B$6-Dashboard!$B$5)),IF(Dashboard!$B$14="LTV per Customer ($)",IF($B15&gt;0,Dashboard!$B$4*IF(Dashboard!$B$5=Dashboard!$B$6,7,((1-Dashboard!$B$5+Dashboard!$B$6)^7-1)/(Dashboard!$B$6-Dashboard!$B$5)),0),"")))))</f>
        <v>0.64699018344899972</v>
      </c>
      <c r="J15" s="37">
        <f>IF(Dashboard!$B$14="Retention %",(1-Dashboard!$B$5)^7,IF(Dashboard!$B$14="MRR ($)",$B15*Dashboard!$B$4*(1-Dashboard!$B$5+Dashboard!$B$6)^7,IF(Dashboard!$B$14="Churned Customers",$B15*(1-(1-Dashboard!$B$5)^7),IF(Dashboard!$B$14="Cumulative Revenue ($)",$B15*Dashboard!$B$4*IF(Dashboard!$B$5=Dashboard!$B$6,8,((1-Dashboard!$B$5+Dashboard!$B$6)^8-1)/(Dashboard!$B$6-Dashboard!$B$5)),IF(Dashboard!$B$14="LTV per Customer ($)",IF($B15&gt;0,Dashboard!$B$4*IF(Dashboard!$B$5=Dashboard!$B$6,8,((1-Dashboard!$B$5+Dashboard!$B$6)^8-1)/(Dashboard!$B$6-Dashboard!$B$5)),0),"")))))</f>
        <v>0.60170087060756972</v>
      </c>
      <c r="K15" s="37">
        <f>IF(Dashboard!$B$14="Retention %",(1-Dashboard!$B$5)^8,IF(Dashboard!$B$14="MRR ($)",$B15*Dashboard!$B$4*(1-Dashboard!$B$5+Dashboard!$B$6)^8,IF(Dashboard!$B$14="Churned Customers",$B15*(1-(1-Dashboard!$B$5)^8),IF(Dashboard!$B$14="Cumulative Revenue ($)",$B15*Dashboard!$B$4*IF(Dashboard!$B$5=Dashboard!$B$6,9,((1-Dashboard!$B$5+Dashboard!$B$6)^9-1)/(Dashboard!$B$6-Dashboard!$B$5)),IF(Dashboard!$B$14="LTV per Customer ($)",IF($B15&gt;0,Dashboard!$B$4*IF(Dashboard!$B$5=Dashboard!$B$6,9,((1-Dashboard!$B$5+Dashboard!$B$6)^9-1)/(Dashboard!$B$6-Dashboard!$B$5)),0),"")))))</f>
        <v>0.55958180966503979</v>
      </c>
      <c r="L15" s="37">
        <f>IF(Dashboard!$B$14="Retention %",(1-Dashboard!$B$5)^9,IF(Dashboard!$B$14="MRR ($)",$B15*Dashboard!$B$4*(1-Dashboard!$B$5+Dashboard!$B$6)^9,IF(Dashboard!$B$14="Churned Customers",$B15*(1-(1-Dashboard!$B$5)^9),IF(Dashboard!$B$14="Cumulative Revenue ($)",$B15*Dashboard!$B$4*IF(Dashboard!$B$5=Dashboard!$B$6,10,((1-Dashboard!$B$5+Dashboard!$B$6)^10-1)/(Dashboard!$B$6-Dashboard!$B$5)),IF(Dashboard!$B$14="LTV per Customer ($)",IF($B15&gt;0,Dashboard!$B$4*IF(Dashboard!$B$5=Dashboard!$B$6,10,((1-Dashboard!$B$5+Dashboard!$B$6)^10-1)/(Dashboard!$B$6-Dashboard!$B$5)),0),"")))))</f>
        <v>0.52041108298848693</v>
      </c>
      <c r="M15" s="17">
        <f>IF(Dashboard!$B$14="Retention %",(1-Dashboard!$B$5)^10,IF(Dashboard!$B$14="MRR ($)",$B15*Dashboard!$B$4*(1-Dashboard!$B$5+Dashboard!$B$6)^10,IF(Dashboard!$B$14="Churned Customers",$B15*(1-(1-Dashboard!$B$5)^10),IF(Dashboard!$B$14="Cumulative Revenue ($)",$B15*Dashboard!$B$4*IF(Dashboard!$B$5=Dashboard!$B$6,11,((1-Dashboard!$B$5+Dashboard!$B$6)^11-1)/(Dashboard!$B$6-Dashboard!$B$5)),IF(Dashboard!$B$14="LTV per Customer ($)",IF($B15&gt;0,Dashboard!$B$4*IF(Dashboard!$B$5=Dashboard!$B$6,11,((1-Dashboard!$B$5+Dashboard!$B$6)^11-1)/(Dashboard!$B$6-Dashboard!$B$5)),0),"")))))</f>
        <v>0.48398230717929286</v>
      </c>
      <c r="N15" s="17">
        <f>IF(Dashboard!$B$14="Retention %",(1-Dashboard!$B$5)^11,IF(Dashboard!$B$14="MRR ($)",$B15*Dashboard!$B$4*(1-Dashboard!$B$5+Dashboard!$B$6)^11,IF(Dashboard!$B$14="Churned Customers",$B15*(1-(1-Dashboard!$B$5)^11),IF(Dashboard!$B$14="Cumulative Revenue ($)",$B15*Dashboard!$B$4*IF(Dashboard!$B$5=Dashboard!$B$6,12,((1-Dashboard!$B$5+Dashboard!$B$6)^12-1)/(Dashboard!$B$6-Dashboard!$B$5)),IF(Dashboard!$B$14="LTV per Customer ($)",IF($B15&gt;0,Dashboard!$B$4*IF(Dashboard!$B$5=Dashboard!$B$6,12,((1-Dashboard!$B$5+Dashboard!$B$6)^12-1)/(Dashboard!$B$6-Dashboard!$B$5)),0),"")))))</f>
        <v>0.45010354567674232</v>
      </c>
      <c r="O15" s="17">
        <f>IF(Dashboard!$B$14="Retention %",(1-Dashboard!$B$5)^12,IF(Dashboard!$B$14="MRR ($)",$B15*Dashboard!$B$4*(1-Dashboard!$B$5+Dashboard!$B$6)^12,IF(Dashboard!$B$14="Churned Customers",$B15*(1-(1-Dashboard!$B$5)^12),IF(Dashboard!$B$14="Cumulative Revenue ($)",$B15*Dashboard!$B$4*IF(Dashboard!$B$5=Dashboard!$B$6,13,((1-Dashboard!$B$5+Dashboard!$B$6)^13-1)/(Dashboard!$B$6-Dashboard!$B$5)),IF(Dashboard!$B$14="LTV per Customer ($)",IF($B15&gt;0,Dashboard!$B$4*IF(Dashboard!$B$5=Dashboard!$B$6,13,((1-Dashboard!$B$5+Dashboard!$B$6)^13-1)/(Dashboard!$B$6-Dashboard!$B$5)),0),"")))))</f>
        <v>0.41859629747937033</v>
      </c>
      <c r="P15" s="17">
        <f>IF(Dashboard!$B$14="Retention %",(1-Dashboard!$B$5)^13,IF(Dashboard!$B$14="MRR ($)",$B15*Dashboard!$B$4*(1-Dashboard!$B$5+Dashboard!$B$6)^13,IF(Dashboard!$B$14="Churned Customers",$B15*(1-(1-Dashboard!$B$5)^13),IF(Dashboard!$B$14="Cumulative Revenue ($)",$B15*Dashboard!$B$4*IF(Dashboard!$B$5=Dashboard!$B$6,14,((1-Dashboard!$B$5+Dashboard!$B$6)^14-1)/(Dashboard!$B$6-Dashboard!$B$5)),IF(Dashboard!$B$14="LTV per Customer ($)",IF($B15&gt;0,Dashboard!$B$4*IF(Dashboard!$B$5=Dashboard!$B$6,14,((1-Dashboard!$B$5+Dashboard!$B$6)^14-1)/(Dashboard!$B$6-Dashboard!$B$5)),0),"")))))</f>
        <v>0.38929455665581436</v>
      </c>
      <c r="Q15" s="17">
        <f>IF(Dashboard!$B$14="Retention %",(1-Dashboard!$B$5)^14,IF(Dashboard!$B$14="MRR ($)",$B15*Dashboard!$B$4*(1-Dashboard!$B$5+Dashboard!$B$6)^14,IF(Dashboard!$B$14="Churned Customers",$B15*(1-(1-Dashboard!$B$5)^14),IF(Dashboard!$B$14="Cumulative Revenue ($)",$B15*Dashboard!$B$4*IF(Dashboard!$B$5=Dashboard!$B$6,15,((1-Dashboard!$B$5+Dashboard!$B$6)^15-1)/(Dashboard!$B$6-Dashboard!$B$5)),IF(Dashboard!$B$14="LTV per Customer ($)",IF($B15&gt;0,Dashboard!$B$4*IF(Dashboard!$B$5=Dashboard!$B$6,15,((1-Dashboard!$B$5+Dashboard!$B$6)^15-1)/(Dashboard!$B$6-Dashboard!$B$5)),0),"")))))</f>
        <v>0.36204393768990734</v>
      </c>
      <c r="R15" s="17">
        <f>IF(Dashboard!$B$14="Retention %",(1-Dashboard!$B$5)^15,IF(Dashboard!$B$14="MRR ($)",$B15*Dashboard!$B$4*(1-Dashboard!$B$5+Dashboard!$B$6)^15,IF(Dashboard!$B$14="Churned Customers",$B15*(1-(1-Dashboard!$B$5)^15),IF(Dashboard!$B$14="Cumulative Revenue ($)",$B15*Dashboard!$B$4*IF(Dashboard!$B$5=Dashboard!$B$6,16,((1-Dashboard!$B$5+Dashboard!$B$6)^16-1)/(Dashboard!$B$6-Dashboard!$B$5)),IF(Dashboard!$B$14="LTV per Customer ($)",IF($B15&gt;0,Dashboard!$B$4*IF(Dashboard!$B$5=Dashboard!$B$6,16,((1-Dashboard!$B$5+Dashboard!$B$6)^16-1)/(Dashboard!$B$6-Dashboard!$B$5)),0),"")))))</f>
        <v>0.33670086205161381</v>
      </c>
      <c r="S15" s="17">
        <f>IF(Dashboard!$B$14="Retention %",(1-Dashboard!$B$5)^16,IF(Dashboard!$B$14="MRR ($)",$B15*Dashboard!$B$4*(1-Dashboard!$B$5+Dashboard!$B$6)^16,IF(Dashboard!$B$14="Churned Customers",$B15*(1-(1-Dashboard!$B$5)^16),IF(Dashboard!$B$14="Cumulative Revenue ($)",$B15*Dashboard!$B$4*IF(Dashboard!$B$5=Dashboard!$B$6,17,((1-Dashboard!$B$5+Dashboard!$B$6)^17-1)/(Dashboard!$B$6-Dashboard!$B$5)),IF(Dashboard!$B$14="LTV per Customer ($)",IF($B15&gt;0,Dashboard!$B$4*IF(Dashboard!$B$5=Dashboard!$B$6,17,((1-Dashboard!$B$5+Dashboard!$B$6)^17-1)/(Dashboard!$B$6-Dashboard!$B$5)),0),"")))))</f>
        <v>0.31313180170800081</v>
      </c>
      <c r="T15" s="17">
        <f>IF(Dashboard!$B$14="Retention %",(1-Dashboard!$B$5)^17,IF(Dashboard!$B$14="MRR ($)",$B15*Dashboard!$B$4*(1-Dashboard!$B$5+Dashboard!$B$6)^17,IF(Dashboard!$B$14="Churned Customers",$B15*(1-(1-Dashboard!$B$5)^17),IF(Dashboard!$B$14="Cumulative Revenue ($)",$B15*Dashboard!$B$4*IF(Dashboard!$B$5=Dashboard!$B$6,18,((1-Dashboard!$B$5+Dashboard!$B$6)^18-1)/(Dashboard!$B$6-Dashboard!$B$5)),IF(Dashboard!$B$14="LTV per Customer ($)",IF($B15&gt;0,Dashboard!$B$4*IF(Dashboard!$B$5=Dashboard!$B$6,18,((1-Dashboard!$B$5+Dashboard!$B$6)^18-1)/(Dashboard!$B$6-Dashboard!$B$5)),0),"")))))</f>
        <v>0.29121257558844071</v>
      </c>
      <c r="U15" s="17">
        <f>IF(Dashboard!$B$14="Retention %",(1-Dashboard!$B$5)^18,IF(Dashboard!$B$14="MRR ($)",$B15*Dashboard!$B$4*(1-Dashboard!$B$5+Dashboard!$B$6)^18,IF(Dashboard!$B$14="Churned Customers",$B15*(1-(1-Dashboard!$B$5)^18),IF(Dashboard!$B$14="Cumulative Revenue ($)",$B15*Dashboard!$B$4*IF(Dashboard!$B$5=Dashboard!$B$6,19,((1-Dashboard!$B$5+Dashboard!$B$6)^19-1)/(Dashboard!$B$6-Dashboard!$B$5)),IF(Dashboard!$B$14="LTV per Customer ($)",IF($B15&gt;0,Dashboard!$B$4*IF(Dashboard!$B$5=Dashboard!$B$6,19,((1-Dashboard!$B$5+Dashboard!$B$6)^19-1)/(Dashboard!$B$6-Dashboard!$B$5)),0),"")))))</f>
        <v>0.27082769529724987</v>
      </c>
      <c r="V15" s="17">
        <f>IF(Dashboard!$B$14="Retention %",(1-Dashboard!$B$5)^19,IF(Dashboard!$B$14="MRR ($)",$B15*Dashboard!$B$4*(1-Dashboard!$B$5+Dashboard!$B$6)^19,IF(Dashboard!$B$14="Churned Customers",$B15*(1-(1-Dashboard!$B$5)^19),IF(Dashboard!$B$14="Cumulative Revenue ($)",$B15*Dashboard!$B$4*IF(Dashboard!$B$5=Dashboard!$B$6,20,((1-Dashboard!$B$5+Dashboard!$B$6)^20-1)/(Dashboard!$B$6-Dashboard!$B$5)),IF(Dashboard!$B$14="LTV per Customer ($)",IF($B15&gt;0,Dashboard!$B$4*IF(Dashboard!$B$5=Dashboard!$B$6,20,((1-Dashboard!$B$5+Dashboard!$B$6)^20-1)/(Dashboard!$B$6-Dashboard!$B$5)),0),"")))))</f>
        <v>0.2518697566264424</v>
      </c>
      <c r="W15" s="17">
        <f>IF(Dashboard!$B$14="Retention %",(1-Dashboard!$B$5)^20,IF(Dashboard!$B$14="MRR ($)",$B15*Dashboard!$B$4*(1-Dashboard!$B$5+Dashboard!$B$6)^20,IF(Dashboard!$B$14="Churned Customers",$B15*(1-(1-Dashboard!$B$5)^20),IF(Dashboard!$B$14="Cumulative Revenue ($)",$B15*Dashboard!$B$4*IF(Dashboard!$B$5=Dashboard!$B$6,21,((1-Dashboard!$B$5+Dashboard!$B$6)^21-1)/(Dashboard!$B$6-Dashboard!$B$5)),IF(Dashboard!$B$14="LTV per Customer ($)",IF($B15&gt;0,Dashboard!$B$4*IF(Dashboard!$B$5=Dashboard!$B$6,21,((1-Dashboard!$B$5+Dashboard!$B$6)^21-1)/(Dashboard!$B$6-Dashboard!$B$5)),0),"")))))</f>
        <v>0.23423887366259136</v>
      </c>
      <c r="X15" s="17">
        <f>IF(Dashboard!$B$14="Retention %",(1-Dashboard!$B$5)^21,IF(Dashboard!$B$14="MRR ($)",$B15*Dashboard!$B$4*(1-Dashboard!$B$5+Dashboard!$B$6)^21,IF(Dashboard!$B$14="Churned Customers",$B15*(1-(1-Dashboard!$B$5)^21),IF(Dashboard!$B$14="Cumulative Revenue ($)",$B15*Dashboard!$B$4*IF(Dashboard!$B$5=Dashboard!$B$6,22,((1-Dashboard!$B$5+Dashboard!$B$6)^22-1)/(Dashboard!$B$6-Dashboard!$B$5)),IF(Dashboard!$B$14="LTV per Customer ($)",IF($B15&gt;0,Dashboard!$B$4*IF(Dashboard!$B$5=Dashboard!$B$6,22,((1-Dashboard!$B$5+Dashboard!$B$6)^22-1)/(Dashboard!$B$6-Dashboard!$B$5)),0),"")))))</f>
        <v>0.21784215250620997</v>
      </c>
      <c r="Y15" s="17">
        <f>IF(Dashboard!$B$14="Retention %",(1-Dashboard!$B$5)^22,IF(Dashboard!$B$14="MRR ($)",$B15*Dashboard!$B$4*(1-Dashboard!$B$5+Dashboard!$B$6)^22,IF(Dashboard!$B$14="Churned Customers",$B15*(1-(1-Dashboard!$B$5)^22),IF(Dashboard!$B$14="Cumulative Revenue ($)",$B15*Dashboard!$B$4*IF(Dashboard!$B$5=Dashboard!$B$6,23,((1-Dashboard!$B$5+Dashboard!$B$6)^23-1)/(Dashboard!$B$6-Dashboard!$B$5)),IF(Dashboard!$B$14="LTV per Customer ($)",IF($B15&gt;0,Dashboard!$B$4*IF(Dashboard!$B$5=Dashboard!$B$6,23,((1-Dashboard!$B$5+Dashboard!$B$6)^23-1)/(Dashboard!$B$6-Dashboard!$B$5)),0),"")))))</f>
        <v>0.20259320183077525</v>
      </c>
      <c r="Z15" s="17">
        <f>IF(Dashboard!$B$14="Retention %",(1-Dashboard!$B$5)^23,IF(Dashboard!$B$14="MRR ($)",$B15*Dashboard!$B$4*(1-Dashboard!$B$5+Dashboard!$B$6)^23,IF(Dashboard!$B$14="Churned Customers",$B15*(1-(1-Dashboard!$B$5)^23),IF(Dashboard!$B$14="Cumulative Revenue ($)",$B15*Dashboard!$B$4*IF(Dashboard!$B$5=Dashboard!$B$6,24,((1-Dashboard!$B$5+Dashboard!$B$6)^24-1)/(Dashboard!$B$6-Dashboard!$B$5)),IF(Dashboard!$B$14="LTV per Customer ($)",IF($B15&gt;0,Dashboard!$B$4*IF(Dashboard!$B$5=Dashboard!$B$6,24,((1-Dashboard!$B$5+Dashboard!$B$6)^24-1)/(Dashboard!$B$6-Dashboard!$B$5)),0),"")))))</f>
        <v>0.18841167770262096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22"/>
    </row>
    <row r="16" spans="1:38" x14ac:dyDescent="0.35">
      <c r="A16" s="40" t="s">
        <v>98</v>
      </c>
      <c r="B16" s="44">
        <v>2</v>
      </c>
      <c r="C16" s="46">
        <f>IF(Dashboard!$B$14="Retention %",1,IF(Dashboard!$B$14="MRR ($)",$B16*Dashboard!$B$4,IF(Dashboard!$B$14="Churned Customers",0,IF(Dashboard!$B$14="Cumulative Revenue ($)",$B16*Dashboard!$B$4,IF(Dashboard!$B$14="LTV per Customer ($)",IF($B16&gt;0,Dashboard!$B$4,0),"")))))</f>
        <v>1</v>
      </c>
      <c r="D16" s="36">
        <f>IF(Dashboard!$B$14="Retention %",(1-Dashboard!$B$5)^1,IF(Dashboard!$B$14="MRR ($)",$B16*Dashboard!$B$4*(1-Dashboard!$B$5+Dashboard!$B$6)^1,IF(Dashboard!$B$14="Churned Customers",$B16*(1-(1-Dashboard!$B$5)^1),IF(Dashboard!$B$14="Cumulative Revenue ($)",$B16*Dashboard!$B$4*IF(Dashboard!$B$5=Dashboard!$B$6,2,((1-Dashboard!$B$5+Dashboard!$B$6)^2-1)/(Dashboard!$B$6-Dashboard!$B$5)),IF(Dashboard!$B$14="LTV per Customer ($)",IF($B16&gt;0,Dashboard!$B$4*IF(Dashboard!$B$5=Dashboard!$B$6,2,((1-Dashboard!$B$5+Dashboard!$B$6)^2-1)/(Dashboard!$B$6-Dashboard!$B$5)),0),"")))))</f>
        <v>0.92999999999999994</v>
      </c>
      <c r="E16" s="36">
        <f>IF(Dashboard!$B$14="Retention %",(1-Dashboard!$B$5)^2,IF(Dashboard!$B$14="MRR ($)",$B16*Dashboard!$B$4*(1-Dashboard!$B$5+Dashboard!$B$6)^2,IF(Dashboard!$B$14="Churned Customers",$B16*(1-(1-Dashboard!$B$5)^2),IF(Dashboard!$B$14="Cumulative Revenue ($)",$B16*Dashboard!$B$4*IF(Dashboard!$B$5=Dashboard!$B$6,3,((1-Dashboard!$B$5+Dashboard!$B$6)^3-1)/(Dashboard!$B$6-Dashboard!$B$5)),IF(Dashboard!$B$14="LTV per Customer ($)",IF($B16&gt;0,Dashboard!$B$4*IF(Dashboard!$B$5=Dashboard!$B$6,3,((1-Dashboard!$B$5+Dashboard!$B$6)^3-1)/(Dashboard!$B$6-Dashboard!$B$5)),0),"")))))</f>
        <v>0.86489999999999989</v>
      </c>
      <c r="F16" s="36">
        <f>IF(Dashboard!$B$14="Retention %",(1-Dashboard!$B$5)^3,IF(Dashboard!$B$14="MRR ($)",$B16*Dashboard!$B$4*(1-Dashboard!$B$5+Dashboard!$B$6)^3,IF(Dashboard!$B$14="Churned Customers",$B16*(1-(1-Dashboard!$B$5)^3),IF(Dashboard!$B$14="Cumulative Revenue ($)",$B16*Dashboard!$B$4*IF(Dashboard!$B$5=Dashboard!$B$6,4,((1-Dashboard!$B$5+Dashboard!$B$6)^4-1)/(Dashboard!$B$6-Dashboard!$B$5)),IF(Dashboard!$B$14="LTV per Customer ($)",IF($B16&gt;0,Dashboard!$B$4*IF(Dashboard!$B$5=Dashboard!$B$6,4,((1-Dashboard!$B$5+Dashboard!$B$6)^4-1)/(Dashboard!$B$6-Dashboard!$B$5)),0),"")))))</f>
        <v>0.80435699999999988</v>
      </c>
      <c r="G16" s="36">
        <f>IF(Dashboard!$B$14="Retention %",(1-Dashboard!$B$5)^4,IF(Dashboard!$B$14="MRR ($)",$B16*Dashboard!$B$4*(1-Dashboard!$B$5+Dashboard!$B$6)^4,IF(Dashboard!$B$14="Churned Customers",$B16*(1-(1-Dashboard!$B$5)^4),IF(Dashboard!$B$14="Cumulative Revenue ($)",$B16*Dashboard!$B$4*IF(Dashboard!$B$5=Dashboard!$B$6,5,((1-Dashboard!$B$5+Dashboard!$B$6)^5-1)/(Dashboard!$B$6-Dashboard!$B$5)),IF(Dashboard!$B$14="LTV per Customer ($)",IF($B16&gt;0,Dashboard!$B$4*IF(Dashboard!$B$5=Dashboard!$B$6,5,((1-Dashboard!$B$5+Dashboard!$B$6)^5-1)/(Dashboard!$B$6-Dashboard!$B$5)),0),"")))))</f>
        <v>0.74805200999999977</v>
      </c>
      <c r="H16" s="36">
        <f>IF(Dashboard!$B$14="Retention %",(1-Dashboard!$B$5)^5,IF(Dashboard!$B$14="MRR ($)",$B16*Dashboard!$B$4*(1-Dashboard!$B$5+Dashboard!$B$6)^5,IF(Dashboard!$B$14="Churned Customers",$B16*(1-(1-Dashboard!$B$5)^5),IF(Dashboard!$B$14="Cumulative Revenue ($)",$B16*Dashboard!$B$4*IF(Dashboard!$B$5=Dashboard!$B$6,6,((1-Dashboard!$B$5+Dashboard!$B$6)^6-1)/(Dashboard!$B$6-Dashboard!$B$5)),IF(Dashboard!$B$14="LTV per Customer ($)",IF($B16&gt;0,Dashboard!$B$4*IF(Dashboard!$B$5=Dashboard!$B$6,6,((1-Dashboard!$B$5+Dashboard!$B$6)^6-1)/(Dashboard!$B$6-Dashboard!$B$5)),0),"")))))</f>
        <v>0.69568836929999978</v>
      </c>
      <c r="I16" s="36">
        <f>IF(Dashboard!$B$14="Retention %",(1-Dashboard!$B$5)^6,IF(Dashboard!$B$14="MRR ($)",$B16*Dashboard!$B$4*(1-Dashboard!$B$5+Dashboard!$B$6)^6,IF(Dashboard!$B$14="Churned Customers",$B16*(1-(1-Dashboard!$B$5)^6),IF(Dashboard!$B$14="Cumulative Revenue ($)",$B16*Dashboard!$B$4*IF(Dashboard!$B$5=Dashboard!$B$6,7,((1-Dashboard!$B$5+Dashboard!$B$6)^7-1)/(Dashboard!$B$6-Dashboard!$B$5)),IF(Dashboard!$B$14="LTV per Customer ($)",IF($B16&gt;0,Dashboard!$B$4*IF(Dashboard!$B$5=Dashboard!$B$6,7,((1-Dashboard!$B$5+Dashboard!$B$6)^7-1)/(Dashboard!$B$6-Dashboard!$B$5)),0),"")))))</f>
        <v>0.64699018344899972</v>
      </c>
      <c r="J16" s="36">
        <f>IF(Dashboard!$B$14="Retention %",(1-Dashboard!$B$5)^7,IF(Dashboard!$B$14="MRR ($)",$B16*Dashboard!$B$4*(1-Dashboard!$B$5+Dashboard!$B$6)^7,IF(Dashboard!$B$14="Churned Customers",$B16*(1-(1-Dashboard!$B$5)^7),IF(Dashboard!$B$14="Cumulative Revenue ($)",$B16*Dashboard!$B$4*IF(Dashboard!$B$5=Dashboard!$B$6,8,((1-Dashboard!$B$5+Dashboard!$B$6)^8-1)/(Dashboard!$B$6-Dashboard!$B$5)),IF(Dashboard!$B$14="LTV per Customer ($)",IF($B16&gt;0,Dashboard!$B$4*IF(Dashboard!$B$5=Dashboard!$B$6,8,((1-Dashboard!$B$5+Dashboard!$B$6)^8-1)/(Dashboard!$B$6-Dashboard!$B$5)),0),"")))))</f>
        <v>0.60170087060756972</v>
      </c>
      <c r="K16" s="36">
        <f>IF(Dashboard!$B$14="Retention %",(1-Dashboard!$B$5)^8,IF(Dashboard!$B$14="MRR ($)",$B16*Dashboard!$B$4*(1-Dashboard!$B$5+Dashboard!$B$6)^8,IF(Dashboard!$B$14="Churned Customers",$B16*(1-(1-Dashboard!$B$5)^8),IF(Dashboard!$B$14="Cumulative Revenue ($)",$B16*Dashboard!$B$4*IF(Dashboard!$B$5=Dashboard!$B$6,9,((1-Dashboard!$B$5+Dashboard!$B$6)^9-1)/(Dashboard!$B$6-Dashboard!$B$5)),IF(Dashboard!$B$14="LTV per Customer ($)",IF($B16&gt;0,Dashboard!$B$4*IF(Dashboard!$B$5=Dashboard!$B$6,9,((1-Dashboard!$B$5+Dashboard!$B$6)^9-1)/(Dashboard!$B$6-Dashboard!$B$5)),0),"")))))</f>
        <v>0.55958180966503979</v>
      </c>
      <c r="L16" s="36">
        <f>IF(Dashboard!$B$14="Retention %",(1-Dashboard!$B$5)^9,IF(Dashboard!$B$14="MRR ($)",$B16*Dashboard!$B$4*(1-Dashboard!$B$5+Dashboard!$B$6)^9,IF(Dashboard!$B$14="Churned Customers",$B16*(1-(1-Dashboard!$B$5)^9),IF(Dashboard!$B$14="Cumulative Revenue ($)",$B16*Dashboard!$B$4*IF(Dashboard!$B$5=Dashboard!$B$6,10,((1-Dashboard!$B$5+Dashboard!$B$6)^10-1)/(Dashboard!$B$6-Dashboard!$B$5)),IF(Dashboard!$B$14="LTV per Customer ($)",IF($B16&gt;0,Dashboard!$B$4*IF(Dashboard!$B$5=Dashboard!$B$6,10,((1-Dashboard!$B$5+Dashboard!$B$6)^10-1)/(Dashboard!$B$6-Dashboard!$B$5)),0),"")))))</f>
        <v>0.52041108298848693</v>
      </c>
      <c r="M16" s="16">
        <f>IF(Dashboard!$B$14="Retention %",(1-Dashboard!$B$5)^10,IF(Dashboard!$B$14="MRR ($)",$B16*Dashboard!$B$4*(1-Dashboard!$B$5+Dashboard!$B$6)^10,IF(Dashboard!$B$14="Churned Customers",$B16*(1-(1-Dashboard!$B$5)^10),IF(Dashboard!$B$14="Cumulative Revenue ($)",$B16*Dashboard!$B$4*IF(Dashboard!$B$5=Dashboard!$B$6,11,((1-Dashboard!$B$5+Dashboard!$B$6)^11-1)/(Dashboard!$B$6-Dashboard!$B$5)),IF(Dashboard!$B$14="LTV per Customer ($)",IF($B16&gt;0,Dashboard!$B$4*IF(Dashboard!$B$5=Dashboard!$B$6,11,((1-Dashboard!$B$5+Dashboard!$B$6)^11-1)/(Dashboard!$B$6-Dashboard!$B$5)),0),"")))))</f>
        <v>0.48398230717929286</v>
      </c>
      <c r="N16" s="16">
        <f>IF(Dashboard!$B$14="Retention %",(1-Dashboard!$B$5)^11,IF(Dashboard!$B$14="MRR ($)",$B16*Dashboard!$B$4*(1-Dashboard!$B$5+Dashboard!$B$6)^11,IF(Dashboard!$B$14="Churned Customers",$B16*(1-(1-Dashboard!$B$5)^11),IF(Dashboard!$B$14="Cumulative Revenue ($)",$B16*Dashboard!$B$4*IF(Dashboard!$B$5=Dashboard!$B$6,12,((1-Dashboard!$B$5+Dashboard!$B$6)^12-1)/(Dashboard!$B$6-Dashboard!$B$5)),IF(Dashboard!$B$14="LTV per Customer ($)",IF($B16&gt;0,Dashboard!$B$4*IF(Dashboard!$B$5=Dashboard!$B$6,12,((1-Dashboard!$B$5+Dashboard!$B$6)^12-1)/(Dashboard!$B$6-Dashboard!$B$5)),0),"")))))</f>
        <v>0.45010354567674232</v>
      </c>
      <c r="O16" s="16">
        <f>IF(Dashboard!$B$14="Retention %",(1-Dashboard!$B$5)^12,IF(Dashboard!$B$14="MRR ($)",$B16*Dashboard!$B$4*(1-Dashboard!$B$5+Dashboard!$B$6)^12,IF(Dashboard!$B$14="Churned Customers",$B16*(1-(1-Dashboard!$B$5)^12),IF(Dashboard!$B$14="Cumulative Revenue ($)",$B16*Dashboard!$B$4*IF(Dashboard!$B$5=Dashboard!$B$6,13,((1-Dashboard!$B$5+Dashboard!$B$6)^13-1)/(Dashboard!$B$6-Dashboard!$B$5)),IF(Dashboard!$B$14="LTV per Customer ($)",IF($B16&gt;0,Dashboard!$B$4*IF(Dashboard!$B$5=Dashboard!$B$6,13,((1-Dashboard!$B$5+Dashboard!$B$6)^13-1)/(Dashboard!$B$6-Dashboard!$B$5)),0),"")))))</f>
        <v>0.41859629747937033</v>
      </c>
      <c r="P16" s="16">
        <f>IF(Dashboard!$B$14="Retention %",(1-Dashboard!$B$5)^13,IF(Dashboard!$B$14="MRR ($)",$B16*Dashboard!$B$4*(1-Dashboard!$B$5+Dashboard!$B$6)^13,IF(Dashboard!$B$14="Churned Customers",$B16*(1-(1-Dashboard!$B$5)^13),IF(Dashboard!$B$14="Cumulative Revenue ($)",$B16*Dashboard!$B$4*IF(Dashboard!$B$5=Dashboard!$B$6,14,((1-Dashboard!$B$5+Dashboard!$B$6)^14-1)/(Dashboard!$B$6-Dashboard!$B$5)),IF(Dashboard!$B$14="LTV per Customer ($)",IF($B16&gt;0,Dashboard!$B$4*IF(Dashboard!$B$5=Dashboard!$B$6,14,((1-Dashboard!$B$5+Dashboard!$B$6)^14-1)/(Dashboard!$B$6-Dashboard!$B$5)),0),"")))))</f>
        <v>0.38929455665581436</v>
      </c>
      <c r="Q16" s="16">
        <f>IF(Dashboard!$B$14="Retention %",(1-Dashboard!$B$5)^14,IF(Dashboard!$B$14="MRR ($)",$B16*Dashboard!$B$4*(1-Dashboard!$B$5+Dashboard!$B$6)^14,IF(Dashboard!$B$14="Churned Customers",$B16*(1-(1-Dashboard!$B$5)^14),IF(Dashboard!$B$14="Cumulative Revenue ($)",$B16*Dashboard!$B$4*IF(Dashboard!$B$5=Dashboard!$B$6,15,((1-Dashboard!$B$5+Dashboard!$B$6)^15-1)/(Dashboard!$B$6-Dashboard!$B$5)),IF(Dashboard!$B$14="LTV per Customer ($)",IF($B16&gt;0,Dashboard!$B$4*IF(Dashboard!$B$5=Dashboard!$B$6,15,((1-Dashboard!$B$5+Dashboard!$B$6)^15-1)/(Dashboard!$B$6-Dashboard!$B$5)),0),"")))))</f>
        <v>0.36204393768990734</v>
      </c>
      <c r="R16" s="16">
        <f>IF(Dashboard!$B$14="Retention %",(1-Dashboard!$B$5)^15,IF(Dashboard!$B$14="MRR ($)",$B16*Dashboard!$B$4*(1-Dashboard!$B$5+Dashboard!$B$6)^15,IF(Dashboard!$B$14="Churned Customers",$B16*(1-(1-Dashboard!$B$5)^15),IF(Dashboard!$B$14="Cumulative Revenue ($)",$B16*Dashboard!$B$4*IF(Dashboard!$B$5=Dashboard!$B$6,16,((1-Dashboard!$B$5+Dashboard!$B$6)^16-1)/(Dashboard!$B$6-Dashboard!$B$5)),IF(Dashboard!$B$14="LTV per Customer ($)",IF($B16&gt;0,Dashboard!$B$4*IF(Dashboard!$B$5=Dashboard!$B$6,16,((1-Dashboard!$B$5+Dashboard!$B$6)^16-1)/(Dashboard!$B$6-Dashboard!$B$5)),0),"")))))</f>
        <v>0.33670086205161381</v>
      </c>
      <c r="S16" s="16">
        <f>IF(Dashboard!$B$14="Retention %",(1-Dashboard!$B$5)^16,IF(Dashboard!$B$14="MRR ($)",$B16*Dashboard!$B$4*(1-Dashboard!$B$5+Dashboard!$B$6)^16,IF(Dashboard!$B$14="Churned Customers",$B16*(1-(1-Dashboard!$B$5)^16),IF(Dashboard!$B$14="Cumulative Revenue ($)",$B16*Dashboard!$B$4*IF(Dashboard!$B$5=Dashboard!$B$6,17,((1-Dashboard!$B$5+Dashboard!$B$6)^17-1)/(Dashboard!$B$6-Dashboard!$B$5)),IF(Dashboard!$B$14="LTV per Customer ($)",IF($B16&gt;0,Dashboard!$B$4*IF(Dashboard!$B$5=Dashboard!$B$6,17,((1-Dashboard!$B$5+Dashboard!$B$6)^17-1)/(Dashboard!$B$6-Dashboard!$B$5)),0),"")))))</f>
        <v>0.31313180170800081</v>
      </c>
      <c r="T16" s="16">
        <f>IF(Dashboard!$B$14="Retention %",(1-Dashboard!$B$5)^17,IF(Dashboard!$B$14="MRR ($)",$B16*Dashboard!$B$4*(1-Dashboard!$B$5+Dashboard!$B$6)^17,IF(Dashboard!$B$14="Churned Customers",$B16*(1-(1-Dashboard!$B$5)^17),IF(Dashboard!$B$14="Cumulative Revenue ($)",$B16*Dashboard!$B$4*IF(Dashboard!$B$5=Dashboard!$B$6,18,((1-Dashboard!$B$5+Dashboard!$B$6)^18-1)/(Dashboard!$B$6-Dashboard!$B$5)),IF(Dashboard!$B$14="LTV per Customer ($)",IF($B16&gt;0,Dashboard!$B$4*IF(Dashboard!$B$5=Dashboard!$B$6,18,((1-Dashboard!$B$5+Dashboard!$B$6)^18-1)/(Dashboard!$B$6-Dashboard!$B$5)),0),"")))))</f>
        <v>0.29121257558844071</v>
      </c>
      <c r="U16" s="16">
        <f>IF(Dashboard!$B$14="Retention %",(1-Dashboard!$B$5)^18,IF(Dashboard!$B$14="MRR ($)",$B16*Dashboard!$B$4*(1-Dashboard!$B$5+Dashboard!$B$6)^18,IF(Dashboard!$B$14="Churned Customers",$B16*(1-(1-Dashboard!$B$5)^18),IF(Dashboard!$B$14="Cumulative Revenue ($)",$B16*Dashboard!$B$4*IF(Dashboard!$B$5=Dashboard!$B$6,19,((1-Dashboard!$B$5+Dashboard!$B$6)^19-1)/(Dashboard!$B$6-Dashboard!$B$5)),IF(Dashboard!$B$14="LTV per Customer ($)",IF($B16&gt;0,Dashboard!$B$4*IF(Dashboard!$B$5=Dashboard!$B$6,19,((1-Dashboard!$B$5+Dashboard!$B$6)^19-1)/(Dashboard!$B$6-Dashboard!$B$5)),0),"")))))</f>
        <v>0.27082769529724987</v>
      </c>
      <c r="V16" s="16">
        <f>IF(Dashboard!$B$14="Retention %",(1-Dashboard!$B$5)^19,IF(Dashboard!$B$14="MRR ($)",$B16*Dashboard!$B$4*(1-Dashboard!$B$5+Dashboard!$B$6)^19,IF(Dashboard!$B$14="Churned Customers",$B16*(1-(1-Dashboard!$B$5)^19),IF(Dashboard!$B$14="Cumulative Revenue ($)",$B16*Dashboard!$B$4*IF(Dashboard!$B$5=Dashboard!$B$6,20,((1-Dashboard!$B$5+Dashboard!$B$6)^20-1)/(Dashboard!$B$6-Dashboard!$B$5)),IF(Dashboard!$B$14="LTV per Customer ($)",IF($B16&gt;0,Dashboard!$B$4*IF(Dashboard!$B$5=Dashboard!$B$6,20,((1-Dashboard!$B$5+Dashboard!$B$6)^20-1)/(Dashboard!$B$6-Dashboard!$B$5)),0),"")))))</f>
        <v>0.2518697566264424</v>
      </c>
      <c r="W16" s="16">
        <f>IF(Dashboard!$B$14="Retention %",(1-Dashboard!$B$5)^20,IF(Dashboard!$B$14="MRR ($)",$B16*Dashboard!$B$4*(1-Dashboard!$B$5+Dashboard!$B$6)^20,IF(Dashboard!$B$14="Churned Customers",$B16*(1-(1-Dashboard!$B$5)^20),IF(Dashboard!$B$14="Cumulative Revenue ($)",$B16*Dashboard!$B$4*IF(Dashboard!$B$5=Dashboard!$B$6,21,((1-Dashboard!$B$5+Dashboard!$B$6)^21-1)/(Dashboard!$B$6-Dashboard!$B$5)),IF(Dashboard!$B$14="LTV per Customer ($)",IF($B16&gt;0,Dashboard!$B$4*IF(Dashboard!$B$5=Dashboard!$B$6,21,((1-Dashboard!$B$5+Dashboard!$B$6)^21-1)/(Dashboard!$B$6-Dashboard!$B$5)),0),"")))))</f>
        <v>0.23423887366259136</v>
      </c>
      <c r="X16" s="16">
        <f>IF(Dashboard!$B$14="Retention %",(1-Dashboard!$B$5)^21,IF(Dashboard!$B$14="MRR ($)",$B16*Dashboard!$B$4*(1-Dashboard!$B$5+Dashboard!$B$6)^21,IF(Dashboard!$B$14="Churned Customers",$B16*(1-(1-Dashboard!$B$5)^21),IF(Dashboard!$B$14="Cumulative Revenue ($)",$B16*Dashboard!$B$4*IF(Dashboard!$B$5=Dashboard!$B$6,22,((1-Dashboard!$B$5+Dashboard!$B$6)^22-1)/(Dashboard!$B$6-Dashboard!$B$5)),IF(Dashboard!$B$14="LTV per Customer ($)",IF($B16&gt;0,Dashboard!$B$4*IF(Dashboard!$B$5=Dashboard!$B$6,22,((1-Dashboard!$B$5+Dashboard!$B$6)^22-1)/(Dashboard!$B$6-Dashboard!$B$5)),0),"")))))</f>
        <v>0.21784215250620997</v>
      </c>
      <c r="Y16" s="16">
        <f>IF(Dashboard!$B$14="Retention %",(1-Dashboard!$B$5)^22,IF(Dashboard!$B$14="MRR ($)",$B16*Dashboard!$B$4*(1-Dashboard!$B$5+Dashboard!$B$6)^22,IF(Dashboard!$B$14="Churned Customers",$B16*(1-(1-Dashboard!$B$5)^22),IF(Dashboard!$B$14="Cumulative Revenue ($)",$B16*Dashboard!$B$4*IF(Dashboard!$B$5=Dashboard!$B$6,23,((1-Dashboard!$B$5+Dashboard!$B$6)^23-1)/(Dashboard!$B$6-Dashboard!$B$5)),IF(Dashboard!$B$14="LTV per Customer ($)",IF($B16&gt;0,Dashboard!$B$4*IF(Dashboard!$B$5=Dashboard!$B$6,23,((1-Dashboard!$B$5+Dashboard!$B$6)^23-1)/(Dashboard!$B$6-Dashboard!$B$5)),0),"")))))</f>
        <v>0.20259320183077525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21"/>
    </row>
    <row r="17" spans="1:38" x14ac:dyDescent="0.35">
      <c r="A17" s="40" t="s">
        <v>99</v>
      </c>
      <c r="B17" s="44">
        <v>2</v>
      </c>
      <c r="C17" s="46">
        <f>IF(Dashboard!$B$14="Retention %",1,IF(Dashboard!$B$14="MRR ($)",$B17*Dashboard!$B$4,IF(Dashboard!$B$14="Churned Customers",0,IF(Dashboard!$B$14="Cumulative Revenue ($)",$B17*Dashboard!$B$4,IF(Dashboard!$B$14="LTV per Customer ($)",IF($B17&gt;0,Dashboard!$B$4,0),"")))))</f>
        <v>1</v>
      </c>
      <c r="D17" s="37">
        <f>IF(Dashboard!$B$14="Retention %",(1-Dashboard!$B$5)^1,IF(Dashboard!$B$14="MRR ($)",$B17*Dashboard!$B$4*(1-Dashboard!$B$5+Dashboard!$B$6)^1,IF(Dashboard!$B$14="Churned Customers",$B17*(1-(1-Dashboard!$B$5)^1),IF(Dashboard!$B$14="Cumulative Revenue ($)",$B17*Dashboard!$B$4*IF(Dashboard!$B$5=Dashboard!$B$6,2,((1-Dashboard!$B$5+Dashboard!$B$6)^2-1)/(Dashboard!$B$6-Dashboard!$B$5)),IF(Dashboard!$B$14="LTV per Customer ($)",IF($B17&gt;0,Dashboard!$B$4*IF(Dashboard!$B$5=Dashboard!$B$6,2,((1-Dashboard!$B$5+Dashboard!$B$6)^2-1)/(Dashboard!$B$6-Dashboard!$B$5)),0),"")))))</f>
        <v>0.92999999999999994</v>
      </c>
      <c r="E17" s="37">
        <f>IF(Dashboard!$B$14="Retention %",(1-Dashboard!$B$5)^2,IF(Dashboard!$B$14="MRR ($)",$B17*Dashboard!$B$4*(1-Dashboard!$B$5+Dashboard!$B$6)^2,IF(Dashboard!$B$14="Churned Customers",$B17*(1-(1-Dashboard!$B$5)^2),IF(Dashboard!$B$14="Cumulative Revenue ($)",$B17*Dashboard!$B$4*IF(Dashboard!$B$5=Dashboard!$B$6,3,((1-Dashboard!$B$5+Dashboard!$B$6)^3-1)/(Dashboard!$B$6-Dashboard!$B$5)),IF(Dashboard!$B$14="LTV per Customer ($)",IF($B17&gt;0,Dashboard!$B$4*IF(Dashboard!$B$5=Dashboard!$B$6,3,((1-Dashboard!$B$5+Dashboard!$B$6)^3-1)/(Dashboard!$B$6-Dashboard!$B$5)),0),"")))))</f>
        <v>0.86489999999999989</v>
      </c>
      <c r="F17" s="37">
        <f>IF(Dashboard!$B$14="Retention %",(1-Dashboard!$B$5)^3,IF(Dashboard!$B$14="MRR ($)",$B17*Dashboard!$B$4*(1-Dashboard!$B$5+Dashboard!$B$6)^3,IF(Dashboard!$B$14="Churned Customers",$B17*(1-(1-Dashboard!$B$5)^3),IF(Dashboard!$B$14="Cumulative Revenue ($)",$B17*Dashboard!$B$4*IF(Dashboard!$B$5=Dashboard!$B$6,4,((1-Dashboard!$B$5+Dashboard!$B$6)^4-1)/(Dashboard!$B$6-Dashboard!$B$5)),IF(Dashboard!$B$14="LTV per Customer ($)",IF($B17&gt;0,Dashboard!$B$4*IF(Dashboard!$B$5=Dashboard!$B$6,4,((1-Dashboard!$B$5+Dashboard!$B$6)^4-1)/(Dashboard!$B$6-Dashboard!$B$5)),0),"")))))</f>
        <v>0.80435699999999988</v>
      </c>
      <c r="G17" s="37">
        <f>IF(Dashboard!$B$14="Retention %",(1-Dashboard!$B$5)^4,IF(Dashboard!$B$14="MRR ($)",$B17*Dashboard!$B$4*(1-Dashboard!$B$5+Dashboard!$B$6)^4,IF(Dashboard!$B$14="Churned Customers",$B17*(1-(1-Dashboard!$B$5)^4),IF(Dashboard!$B$14="Cumulative Revenue ($)",$B17*Dashboard!$B$4*IF(Dashboard!$B$5=Dashboard!$B$6,5,((1-Dashboard!$B$5+Dashboard!$B$6)^5-1)/(Dashboard!$B$6-Dashboard!$B$5)),IF(Dashboard!$B$14="LTV per Customer ($)",IF($B17&gt;0,Dashboard!$B$4*IF(Dashboard!$B$5=Dashboard!$B$6,5,((1-Dashboard!$B$5+Dashboard!$B$6)^5-1)/(Dashboard!$B$6-Dashboard!$B$5)),0),"")))))</f>
        <v>0.74805200999999977</v>
      </c>
      <c r="H17" s="37">
        <f>IF(Dashboard!$B$14="Retention %",(1-Dashboard!$B$5)^5,IF(Dashboard!$B$14="MRR ($)",$B17*Dashboard!$B$4*(1-Dashboard!$B$5+Dashboard!$B$6)^5,IF(Dashboard!$B$14="Churned Customers",$B17*(1-(1-Dashboard!$B$5)^5),IF(Dashboard!$B$14="Cumulative Revenue ($)",$B17*Dashboard!$B$4*IF(Dashboard!$B$5=Dashboard!$B$6,6,((1-Dashboard!$B$5+Dashboard!$B$6)^6-1)/(Dashboard!$B$6-Dashboard!$B$5)),IF(Dashboard!$B$14="LTV per Customer ($)",IF($B17&gt;0,Dashboard!$B$4*IF(Dashboard!$B$5=Dashboard!$B$6,6,((1-Dashboard!$B$5+Dashboard!$B$6)^6-1)/(Dashboard!$B$6-Dashboard!$B$5)),0),"")))))</f>
        <v>0.69568836929999978</v>
      </c>
      <c r="I17" s="37">
        <f>IF(Dashboard!$B$14="Retention %",(1-Dashboard!$B$5)^6,IF(Dashboard!$B$14="MRR ($)",$B17*Dashboard!$B$4*(1-Dashboard!$B$5+Dashboard!$B$6)^6,IF(Dashboard!$B$14="Churned Customers",$B17*(1-(1-Dashboard!$B$5)^6),IF(Dashboard!$B$14="Cumulative Revenue ($)",$B17*Dashboard!$B$4*IF(Dashboard!$B$5=Dashboard!$B$6,7,((1-Dashboard!$B$5+Dashboard!$B$6)^7-1)/(Dashboard!$B$6-Dashboard!$B$5)),IF(Dashboard!$B$14="LTV per Customer ($)",IF($B17&gt;0,Dashboard!$B$4*IF(Dashboard!$B$5=Dashboard!$B$6,7,((1-Dashboard!$B$5+Dashboard!$B$6)^7-1)/(Dashboard!$B$6-Dashboard!$B$5)),0),"")))))</f>
        <v>0.64699018344899972</v>
      </c>
      <c r="J17" s="37">
        <f>IF(Dashboard!$B$14="Retention %",(1-Dashboard!$B$5)^7,IF(Dashboard!$B$14="MRR ($)",$B17*Dashboard!$B$4*(1-Dashboard!$B$5+Dashboard!$B$6)^7,IF(Dashboard!$B$14="Churned Customers",$B17*(1-(1-Dashboard!$B$5)^7),IF(Dashboard!$B$14="Cumulative Revenue ($)",$B17*Dashboard!$B$4*IF(Dashboard!$B$5=Dashboard!$B$6,8,((1-Dashboard!$B$5+Dashboard!$B$6)^8-1)/(Dashboard!$B$6-Dashboard!$B$5)),IF(Dashboard!$B$14="LTV per Customer ($)",IF($B17&gt;0,Dashboard!$B$4*IF(Dashboard!$B$5=Dashboard!$B$6,8,((1-Dashboard!$B$5+Dashboard!$B$6)^8-1)/(Dashboard!$B$6-Dashboard!$B$5)),0),"")))))</f>
        <v>0.60170087060756972</v>
      </c>
      <c r="K17" s="37">
        <f>IF(Dashboard!$B$14="Retention %",(1-Dashboard!$B$5)^8,IF(Dashboard!$B$14="MRR ($)",$B17*Dashboard!$B$4*(1-Dashboard!$B$5+Dashboard!$B$6)^8,IF(Dashboard!$B$14="Churned Customers",$B17*(1-(1-Dashboard!$B$5)^8),IF(Dashboard!$B$14="Cumulative Revenue ($)",$B17*Dashboard!$B$4*IF(Dashboard!$B$5=Dashboard!$B$6,9,((1-Dashboard!$B$5+Dashboard!$B$6)^9-1)/(Dashboard!$B$6-Dashboard!$B$5)),IF(Dashboard!$B$14="LTV per Customer ($)",IF($B17&gt;0,Dashboard!$B$4*IF(Dashboard!$B$5=Dashboard!$B$6,9,((1-Dashboard!$B$5+Dashboard!$B$6)^9-1)/(Dashboard!$B$6-Dashboard!$B$5)),0),"")))))</f>
        <v>0.55958180966503979</v>
      </c>
      <c r="L17" s="37">
        <f>IF(Dashboard!$B$14="Retention %",(1-Dashboard!$B$5)^9,IF(Dashboard!$B$14="MRR ($)",$B17*Dashboard!$B$4*(1-Dashboard!$B$5+Dashboard!$B$6)^9,IF(Dashboard!$B$14="Churned Customers",$B17*(1-(1-Dashboard!$B$5)^9),IF(Dashboard!$B$14="Cumulative Revenue ($)",$B17*Dashboard!$B$4*IF(Dashboard!$B$5=Dashboard!$B$6,10,((1-Dashboard!$B$5+Dashboard!$B$6)^10-1)/(Dashboard!$B$6-Dashboard!$B$5)),IF(Dashboard!$B$14="LTV per Customer ($)",IF($B17&gt;0,Dashboard!$B$4*IF(Dashboard!$B$5=Dashboard!$B$6,10,((1-Dashboard!$B$5+Dashboard!$B$6)^10-1)/(Dashboard!$B$6-Dashboard!$B$5)),0),"")))))</f>
        <v>0.52041108298848693</v>
      </c>
      <c r="M17" s="17">
        <f>IF(Dashboard!$B$14="Retention %",(1-Dashboard!$B$5)^10,IF(Dashboard!$B$14="MRR ($)",$B17*Dashboard!$B$4*(1-Dashboard!$B$5+Dashboard!$B$6)^10,IF(Dashboard!$B$14="Churned Customers",$B17*(1-(1-Dashboard!$B$5)^10),IF(Dashboard!$B$14="Cumulative Revenue ($)",$B17*Dashboard!$B$4*IF(Dashboard!$B$5=Dashboard!$B$6,11,((1-Dashboard!$B$5+Dashboard!$B$6)^11-1)/(Dashboard!$B$6-Dashboard!$B$5)),IF(Dashboard!$B$14="LTV per Customer ($)",IF($B17&gt;0,Dashboard!$B$4*IF(Dashboard!$B$5=Dashboard!$B$6,11,((1-Dashboard!$B$5+Dashboard!$B$6)^11-1)/(Dashboard!$B$6-Dashboard!$B$5)),0),"")))))</f>
        <v>0.48398230717929286</v>
      </c>
      <c r="N17" s="17">
        <f>IF(Dashboard!$B$14="Retention %",(1-Dashboard!$B$5)^11,IF(Dashboard!$B$14="MRR ($)",$B17*Dashboard!$B$4*(1-Dashboard!$B$5+Dashboard!$B$6)^11,IF(Dashboard!$B$14="Churned Customers",$B17*(1-(1-Dashboard!$B$5)^11),IF(Dashboard!$B$14="Cumulative Revenue ($)",$B17*Dashboard!$B$4*IF(Dashboard!$B$5=Dashboard!$B$6,12,((1-Dashboard!$B$5+Dashboard!$B$6)^12-1)/(Dashboard!$B$6-Dashboard!$B$5)),IF(Dashboard!$B$14="LTV per Customer ($)",IF($B17&gt;0,Dashboard!$B$4*IF(Dashboard!$B$5=Dashboard!$B$6,12,((1-Dashboard!$B$5+Dashboard!$B$6)^12-1)/(Dashboard!$B$6-Dashboard!$B$5)),0),"")))))</f>
        <v>0.45010354567674232</v>
      </c>
      <c r="O17" s="17">
        <f>IF(Dashboard!$B$14="Retention %",(1-Dashboard!$B$5)^12,IF(Dashboard!$B$14="MRR ($)",$B17*Dashboard!$B$4*(1-Dashboard!$B$5+Dashboard!$B$6)^12,IF(Dashboard!$B$14="Churned Customers",$B17*(1-(1-Dashboard!$B$5)^12),IF(Dashboard!$B$14="Cumulative Revenue ($)",$B17*Dashboard!$B$4*IF(Dashboard!$B$5=Dashboard!$B$6,13,((1-Dashboard!$B$5+Dashboard!$B$6)^13-1)/(Dashboard!$B$6-Dashboard!$B$5)),IF(Dashboard!$B$14="LTV per Customer ($)",IF($B17&gt;0,Dashboard!$B$4*IF(Dashboard!$B$5=Dashboard!$B$6,13,((1-Dashboard!$B$5+Dashboard!$B$6)^13-1)/(Dashboard!$B$6-Dashboard!$B$5)),0),"")))))</f>
        <v>0.41859629747937033</v>
      </c>
      <c r="P17" s="17">
        <f>IF(Dashboard!$B$14="Retention %",(1-Dashboard!$B$5)^13,IF(Dashboard!$B$14="MRR ($)",$B17*Dashboard!$B$4*(1-Dashboard!$B$5+Dashboard!$B$6)^13,IF(Dashboard!$B$14="Churned Customers",$B17*(1-(1-Dashboard!$B$5)^13),IF(Dashboard!$B$14="Cumulative Revenue ($)",$B17*Dashboard!$B$4*IF(Dashboard!$B$5=Dashboard!$B$6,14,((1-Dashboard!$B$5+Dashboard!$B$6)^14-1)/(Dashboard!$B$6-Dashboard!$B$5)),IF(Dashboard!$B$14="LTV per Customer ($)",IF($B17&gt;0,Dashboard!$B$4*IF(Dashboard!$B$5=Dashboard!$B$6,14,((1-Dashboard!$B$5+Dashboard!$B$6)^14-1)/(Dashboard!$B$6-Dashboard!$B$5)),0),"")))))</f>
        <v>0.38929455665581436</v>
      </c>
      <c r="Q17" s="17">
        <f>IF(Dashboard!$B$14="Retention %",(1-Dashboard!$B$5)^14,IF(Dashboard!$B$14="MRR ($)",$B17*Dashboard!$B$4*(1-Dashboard!$B$5+Dashboard!$B$6)^14,IF(Dashboard!$B$14="Churned Customers",$B17*(1-(1-Dashboard!$B$5)^14),IF(Dashboard!$B$14="Cumulative Revenue ($)",$B17*Dashboard!$B$4*IF(Dashboard!$B$5=Dashboard!$B$6,15,((1-Dashboard!$B$5+Dashboard!$B$6)^15-1)/(Dashboard!$B$6-Dashboard!$B$5)),IF(Dashboard!$B$14="LTV per Customer ($)",IF($B17&gt;0,Dashboard!$B$4*IF(Dashboard!$B$5=Dashboard!$B$6,15,((1-Dashboard!$B$5+Dashboard!$B$6)^15-1)/(Dashboard!$B$6-Dashboard!$B$5)),0),"")))))</f>
        <v>0.36204393768990734</v>
      </c>
      <c r="R17" s="17">
        <f>IF(Dashboard!$B$14="Retention %",(1-Dashboard!$B$5)^15,IF(Dashboard!$B$14="MRR ($)",$B17*Dashboard!$B$4*(1-Dashboard!$B$5+Dashboard!$B$6)^15,IF(Dashboard!$B$14="Churned Customers",$B17*(1-(1-Dashboard!$B$5)^15),IF(Dashboard!$B$14="Cumulative Revenue ($)",$B17*Dashboard!$B$4*IF(Dashboard!$B$5=Dashboard!$B$6,16,((1-Dashboard!$B$5+Dashboard!$B$6)^16-1)/(Dashboard!$B$6-Dashboard!$B$5)),IF(Dashboard!$B$14="LTV per Customer ($)",IF($B17&gt;0,Dashboard!$B$4*IF(Dashboard!$B$5=Dashboard!$B$6,16,((1-Dashboard!$B$5+Dashboard!$B$6)^16-1)/(Dashboard!$B$6-Dashboard!$B$5)),0),"")))))</f>
        <v>0.33670086205161381</v>
      </c>
      <c r="S17" s="17">
        <f>IF(Dashboard!$B$14="Retention %",(1-Dashboard!$B$5)^16,IF(Dashboard!$B$14="MRR ($)",$B17*Dashboard!$B$4*(1-Dashboard!$B$5+Dashboard!$B$6)^16,IF(Dashboard!$B$14="Churned Customers",$B17*(1-(1-Dashboard!$B$5)^16),IF(Dashboard!$B$14="Cumulative Revenue ($)",$B17*Dashboard!$B$4*IF(Dashboard!$B$5=Dashboard!$B$6,17,((1-Dashboard!$B$5+Dashboard!$B$6)^17-1)/(Dashboard!$B$6-Dashboard!$B$5)),IF(Dashboard!$B$14="LTV per Customer ($)",IF($B17&gt;0,Dashboard!$B$4*IF(Dashboard!$B$5=Dashboard!$B$6,17,((1-Dashboard!$B$5+Dashboard!$B$6)^17-1)/(Dashboard!$B$6-Dashboard!$B$5)),0),"")))))</f>
        <v>0.31313180170800081</v>
      </c>
      <c r="T17" s="17">
        <f>IF(Dashboard!$B$14="Retention %",(1-Dashboard!$B$5)^17,IF(Dashboard!$B$14="MRR ($)",$B17*Dashboard!$B$4*(1-Dashboard!$B$5+Dashboard!$B$6)^17,IF(Dashboard!$B$14="Churned Customers",$B17*(1-(1-Dashboard!$B$5)^17),IF(Dashboard!$B$14="Cumulative Revenue ($)",$B17*Dashboard!$B$4*IF(Dashboard!$B$5=Dashboard!$B$6,18,((1-Dashboard!$B$5+Dashboard!$B$6)^18-1)/(Dashboard!$B$6-Dashboard!$B$5)),IF(Dashboard!$B$14="LTV per Customer ($)",IF($B17&gt;0,Dashboard!$B$4*IF(Dashboard!$B$5=Dashboard!$B$6,18,((1-Dashboard!$B$5+Dashboard!$B$6)^18-1)/(Dashboard!$B$6-Dashboard!$B$5)),0),"")))))</f>
        <v>0.29121257558844071</v>
      </c>
      <c r="U17" s="17">
        <f>IF(Dashboard!$B$14="Retention %",(1-Dashboard!$B$5)^18,IF(Dashboard!$B$14="MRR ($)",$B17*Dashboard!$B$4*(1-Dashboard!$B$5+Dashboard!$B$6)^18,IF(Dashboard!$B$14="Churned Customers",$B17*(1-(1-Dashboard!$B$5)^18),IF(Dashboard!$B$14="Cumulative Revenue ($)",$B17*Dashboard!$B$4*IF(Dashboard!$B$5=Dashboard!$B$6,19,((1-Dashboard!$B$5+Dashboard!$B$6)^19-1)/(Dashboard!$B$6-Dashboard!$B$5)),IF(Dashboard!$B$14="LTV per Customer ($)",IF($B17&gt;0,Dashboard!$B$4*IF(Dashboard!$B$5=Dashboard!$B$6,19,((1-Dashboard!$B$5+Dashboard!$B$6)^19-1)/(Dashboard!$B$6-Dashboard!$B$5)),0),"")))))</f>
        <v>0.27082769529724987</v>
      </c>
      <c r="V17" s="17">
        <f>IF(Dashboard!$B$14="Retention %",(1-Dashboard!$B$5)^19,IF(Dashboard!$B$14="MRR ($)",$B17*Dashboard!$B$4*(1-Dashboard!$B$5+Dashboard!$B$6)^19,IF(Dashboard!$B$14="Churned Customers",$B17*(1-(1-Dashboard!$B$5)^19),IF(Dashboard!$B$14="Cumulative Revenue ($)",$B17*Dashboard!$B$4*IF(Dashboard!$B$5=Dashboard!$B$6,20,((1-Dashboard!$B$5+Dashboard!$B$6)^20-1)/(Dashboard!$B$6-Dashboard!$B$5)),IF(Dashboard!$B$14="LTV per Customer ($)",IF($B17&gt;0,Dashboard!$B$4*IF(Dashboard!$B$5=Dashboard!$B$6,20,((1-Dashboard!$B$5+Dashboard!$B$6)^20-1)/(Dashboard!$B$6-Dashboard!$B$5)),0),"")))))</f>
        <v>0.2518697566264424</v>
      </c>
      <c r="W17" s="17">
        <f>IF(Dashboard!$B$14="Retention %",(1-Dashboard!$B$5)^20,IF(Dashboard!$B$14="MRR ($)",$B17*Dashboard!$B$4*(1-Dashboard!$B$5+Dashboard!$B$6)^20,IF(Dashboard!$B$14="Churned Customers",$B17*(1-(1-Dashboard!$B$5)^20),IF(Dashboard!$B$14="Cumulative Revenue ($)",$B17*Dashboard!$B$4*IF(Dashboard!$B$5=Dashboard!$B$6,21,((1-Dashboard!$B$5+Dashboard!$B$6)^21-1)/(Dashboard!$B$6-Dashboard!$B$5)),IF(Dashboard!$B$14="LTV per Customer ($)",IF($B17&gt;0,Dashboard!$B$4*IF(Dashboard!$B$5=Dashboard!$B$6,21,((1-Dashboard!$B$5+Dashboard!$B$6)^21-1)/(Dashboard!$B$6-Dashboard!$B$5)),0),"")))))</f>
        <v>0.23423887366259136</v>
      </c>
      <c r="X17" s="17">
        <f>IF(Dashboard!$B$14="Retention %",(1-Dashboard!$B$5)^21,IF(Dashboard!$B$14="MRR ($)",$B17*Dashboard!$B$4*(1-Dashboard!$B$5+Dashboard!$B$6)^21,IF(Dashboard!$B$14="Churned Customers",$B17*(1-(1-Dashboard!$B$5)^21),IF(Dashboard!$B$14="Cumulative Revenue ($)",$B17*Dashboard!$B$4*IF(Dashboard!$B$5=Dashboard!$B$6,22,((1-Dashboard!$B$5+Dashboard!$B$6)^22-1)/(Dashboard!$B$6-Dashboard!$B$5)),IF(Dashboard!$B$14="LTV per Customer ($)",IF($B17&gt;0,Dashboard!$B$4*IF(Dashboard!$B$5=Dashboard!$B$6,22,((1-Dashboard!$B$5+Dashboard!$B$6)^22-1)/(Dashboard!$B$6-Dashboard!$B$5)),0),"")))))</f>
        <v>0.21784215250620997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22"/>
    </row>
    <row r="18" spans="1:38" x14ac:dyDescent="0.35">
      <c r="A18" s="40" t="s">
        <v>100</v>
      </c>
      <c r="B18" s="44">
        <v>2</v>
      </c>
      <c r="C18" s="46">
        <f>IF(Dashboard!$B$14="Retention %",1,IF(Dashboard!$B$14="MRR ($)",$B18*Dashboard!$B$4,IF(Dashboard!$B$14="Churned Customers",0,IF(Dashboard!$B$14="Cumulative Revenue ($)",$B18*Dashboard!$B$4,IF(Dashboard!$B$14="LTV per Customer ($)",IF($B18&gt;0,Dashboard!$B$4,0),"")))))</f>
        <v>1</v>
      </c>
      <c r="D18" s="36">
        <f>IF(Dashboard!$B$14="Retention %",(1-Dashboard!$B$5)^1,IF(Dashboard!$B$14="MRR ($)",$B18*Dashboard!$B$4*(1-Dashboard!$B$5+Dashboard!$B$6)^1,IF(Dashboard!$B$14="Churned Customers",$B18*(1-(1-Dashboard!$B$5)^1),IF(Dashboard!$B$14="Cumulative Revenue ($)",$B18*Dashboard!$B$4*IF(Dashboard!$B$5=Dashboard!$B$6,2,((1-Dashboard!$B$5+Dashboard!$B$6)^2-1)/(Dashboard!$B$6-Dashboard!$B$5)),IF(Dashboard!$B$14="LTV per Customer ($)",IF($B18&gt;0,Dashboard!$B$4*IF(Dashboard!$B$5=Dashboard!$B$6,2,((1-Dashboard!$B$5+Dashboard!$B$6)^2-1)/(Dashboard!$B$6-Dashboard!$B$5)),0),"")))))</f>
        <v>0.92999999999999994</v>
      </c>
      <c r="E18" s="36">
        <f>IF(Dashboard!$B$14="Retention %",(1-Dashboard!$B$5)^2,IF(Dashboard!$B$14="MRR ($)",$B18*Dashboard!$B$4*(1-Dashboard!$B$5+Dashboard!$B$6)^2,IF(Dashboard!$B$14="Churned Customers",$B18*(1-(1-Dashboard!$B$5)^2),IF(Dashboard!$B$14="Cumulative Revenue ($)",$B18*Dashboard!$B$4*IF(Dashboard!$B$5=Dashboard!$B$6,3,((1-Dashboard!$B$5+Dashboard!$B$6)^3-1)/(Dashboard!$B$6-Dashboard!$B$5)),IF(Dashboard!$B$14="LTV per Customer ($)",IF($B18&gt;0,Dashboard!$B$4*IF(Dashboard!$B$5=Dashboard!$B$6,3,((1-Dashboard!$B$5+Dashboard!$B$6)^3-1)/(Dashboard!$B$6-Dashboard!$B$5)),0),"")))))</f>
        <v>0.86489999999999989</v>
      </c>
      <c r="F18" s="36">
        <f>IF(Dashboard!$B$14="Retention %",(1-Dashboard!$B$5)^3,IF(Dashboard!$B$14="MRR ($)",$B18*Dashboard!$B$4*(1-Dashboard!$B$5+Dashboard!$B$6)^3,IF(Dashboard!$B$14="Churned Customers",$B18*(1-(1-Dashboard!$B$5)^3),IF(Dashboard!$B$14="Cumulative Revenue ($)",$B18*Dashboard!$B$4*IF(Dashboard!$B$5=Dashboard!$B$6,4,((1-Dashboard!$B$5+Dashboard!$B$6)^4-1)/(Dashboard!$B$6-Dashboard!$B$5)),IF(Dashboard!$B$14="LTV per Customer ($)",IF($B18&gt;0,Dashboard!$B$4*IF(Dashboard!$B$5=Dashboard!$B$6,4,((1-Dashboard!$B$5+Dashboard!$B$6)^4-1)/(Dashboard!$B$6-Dashboard!$B$5)),0),"")))))</f>
        <v>0.80435699999999988</v>
      </c>
      <c r="G18" s="36">
        <f>IF(Dashboard!$B$14="Retention %",(1-Dashboard!$B$5)^4,IF(Dashboard!$B$14="MRR ($)",$B18*Dashboard!$B$4*(1-Dashboard!$B$5+Dashboard!$B$6)^4,IF(Dashboard!$B$14="Churned Customers",$B18*(1-(1-Dashboard!$B$5)^4),IF(Dashboard!$B$14="Cumulative Revenue ($)",$B18*Dashboard!$B$4*IF(Dashboard!$B$5=Dashboard!$B$6,5,((1-Dashboard!$B$5+Dashboard!$B$6)^5-1)/(Dashboard!$B$6-Dashboard!$B$5)),IF(Dashboard!$B$14="LTV per Customer ($)",IF($B18&gt;0,Dashboard!$B$4*IF(Dashboard!$B$5=Dashboard!$B$6,5,((1-Dashboard!$B$5+Dashboard!$B$6)^5-1)/(Dashboard!$B$6-Dashboard!$B$5)),0),"")))))</f>
        <v>0.74805200999999977</v>
      </c>
      <c r="H18" s="36">
        <f>IF(Dashboard!$B$14="Retention %",(1-Dashboard!$B$5)^5,IF(Dashboard!$B$14="MRR ($)",$B18*Dashboard!$B$4*(1-Dashboard!$B$5+Dashboard!$B$6)^5,IF(Dashboard!$B$14="Churned Customers",$B18*(1-(1-Dashboard!$B$5)^5),IF(Dashboard!$B$14="Cumulative Revenue ($)",$B18*Dashboard!$B$4*IF(Dashboard!$B$5=Dashboard!$B$6,6,((1-Dashboard!$B$5+Dashboard!$B$6)^6-1)/(Dashboard!$B$6-Dashboard!$B$5)),IF(Dashboard!$B$14="LTV per Customer ($)",IF($B18&gt;0,Dashboard!$B$4*IF(Dashboard!$B$5=Dashboard!$B$6,6,((1-Dashboard!$B$5+Dashboard!$B$6)^6-1)/(Dashboard!$B$6-Dashboard!$B$5)),0),"")))))</f>
        <v>0.69568836929999978</v>
      </c>
      <c r="I18" s="36">
        <f>IF(Dashboard!$B$14="Retention %",(1-Dashboard!$B$5)^6,IF(Dashboard!$B$14="MRR ($)",$B18*Dashboard!$B$4*(1-Dashboard!$B$5+Dashboard!$B$6)^6,IF(Dashboard!$B$14="Churned Customers",$B18*(1-(1-Dashboard!$B$5)^6),IF(Dashboard!$B$14="Cumulative Revenue ($)",$B18*Dashboard!$B$4*IF(Dashboard!$B$5=Dashboard!$B$6,7,((1-Dashboard!$B$5+Dashboard!$B$6)^7-1)/(Dashboard!$B$6-Dashboard!$B$5)),IF(Dashboard!$B$14="LTV per Customer ($)",IF($B18&gt;0,Dashboard!$B$4*IF(Dashboard!$B$5=Dashboard!$B$6,7,((1-Dashboard!$B$5+Dashboard!$B$6)^7-1)/(Dashboard!$B$6-Dashboard!$B$5)),0),"")))))</f>
        <v>0.64699018344899972</v>
      </c>
      <c r="J18" s="36">
        <f>IF(Dashboard!$B$14="Retention %",(1-Dashboard!$B$5)^7,IF(Dashboard!$B$14="MRR ($)",$B18*Dashboard!$B$4*(1-Dashboard!$B$5+Dashboard!$B$6)^7,IF(Dashboard!$B$14="Churned Customers",$B18*(1-(1-Dashboard!$B$5)^7),IF(Dashboard!$B$14="Cumulative Revenue ($)",$B18*Dashboard!$B$4*IF(Dashboard!$B$5=Dashboard!$B$6,8,((1-Dashboard!$B$5+Dashboard!$B$6)^8-1)/(Dashboard!$B$6-Dashboard!$B$5)),IF(Dashboard!$B$14="LTV per Customer ($)",IF($B18&gt;0,Dashboard!$B$4*IF(Dashboard!$B$5=Dashboard!$B$6,8,((1-Dashboard!$B$5+Dashboard!$B$6)^8-1)/(Dashboard!$B$6-Dashboard!$B$5)),0),"")))))</f>
        <v>0.60170087060756972</v>
      </c>
      <c r="K18" s="36">
        <f>IF(Dashboard!$B$14="Retention %",(1-Dashboard!$B$5)^8,IF(Dashboard!$B$14="MRR ($)",$B18*Dashboard!$B$4*(1-Dashboard!$B$5+Dashboard!$B$6)^8,IF(Dashboard!$B$14="Churned Customers",$B18*(1-(1-Dashboard!$B$5)^8),IF(Dashboard!$B$14="Cumulative Revenue ($)",$B18*Dashboard!$B$4*IF(Dashboard!$B$5=Dashboard!$B$6,9,((1-Dashboard!$B$5+Dashboard!$B$6)^9-1)/(Dashboard!$B$6-Dashboard!$B$5)),IF(Dashboard!$B$14="LTV per Customer ($)",IF($B18&gt;0,Dashboard!$B$4*IF(Dashboard!$B$5=Dashboard!$B$6,9,((1-Dashboard!$B$5+Dashboard!$B$6)^9-1)/(Dashboard!$B$6-Dashboard!$B$5)),0),"")))))</f>
        <v>0.55958180966503979</v>
      </c>
      <c r="L18" s="36">
        <f>IF(Dashboard!$B$14="Retention %",(1-Dashboard!$B$5)^9,IF(Dashboard!$B$14="MRR ($)",$B18*Dashboard!$B$4*(1-Dashboard!$B$5+Dashboard!$B$6)^9,IF(Dashboard!$B$14="Churned Customers",$B18*(1-(1-Dashboard!$B$5)^9),IF(Dashboard!$B$14="Cumulative Revenue ($)",$B18*Dashboard!$B$4*IF(Dashboard!$B$5=Dashboard!$B$6,10,((1-Dashboard!$B$5+Dashboard!$B$6)^10-1)/(Dashboard!$B$6-Dashboard!$B$5)),IF(Dashboard!$B$14="LTV per Customer ($)",IF($B18&gt;0,Dashboard!$B$4*IF(Dashboard!$B$5=Dashboard!$B$6,10,((1-Dashboard!$B$5+Dashboard!$B$6)^10-1)/(Dashboard!$B$6-Dashboard!$B$5)),0),"")))))</f>
        <v>0.52041108298848693</v>
      </c>
      <c r="M18" s="16">
        <f>IF(Dashboard!$B$14="Retention %",(1-Dashboard!$B$5)^10,IF(Dashboard!$B$14="MRR ($)",$B18*Dashboard!$B$4*(1-Dashboard!$B$5+Dashboard!$B$6)^10,IF(Dashboard!$B$14="Churned Customers",$B18*(1-(1-Dashboard!$B$5)^10),IF(Dashboard!$B$14="Cumulative Revenue ($)",$B18*Dashboard!$B$4*IF(Dashboard!$B$5=Dashboard!$B$6,11,((1-Dashboard!$B$5+Dashboard!$B$6)^11-1)/(Dashboard!$B$6-Dashboard!$B$5)),IF(Dashboard!$B$14="LTV per Customer ($)",IF($B18&gt;0,Dashboard!$B$4*IF(Dashboard!$B$5=Dashboard!$B$6,11,((1-Dashboard!$B$5+Dashboard!$B$6)^11-1)/(Dashboard!$B$6-Dashboard!$B$5)),0),"")))))</f>
        <v>0.48398230717929286</v>
      </c>
      <c r="N18" s="16">
        <f>IF(Dashboard!$B$14="Retention %",(1-Dashboard!$B$5)^11,IF(Dashboard!$B$14="MRR ($)",$B18*Dashboard!$B$4*(1-Dashboard!$B$5+Dashboard!$B$6)^11,IF(Dashboard!$B$14="Churned Customers",$B18*(1-(1-Dashboard!$B$5)^11),IF(Dashboard!$B$14="Cumulative Revenue ($)",$B18*Dashboard!$B$4*IF(Dashboard!$B$5=Dashboard!$B$6,12,((1-Dashboard!$B$5+Dashboard!$B$6)^12-1)/(Dashboard!$B$6-Dashboard!$B$5)),IF(Dashboard!$B$14="LTV per Customer ($)",IF($B18&gt;0,Dashboard!$B$4*IF(Dashboard!$B$5=Dashboard!$B$6,12,((1-Dashboard!$B$5+Dashboard!$B$6)^12-1)/(Dashboard!$B$6-Dashboard!$B$5)),0),"")))))</f>
        <v>0.45010354567674232</v>
      </c>
      <c r="O18" s="16">
        <f>IF(Dashboard!$B$14="Retention %",(1-Dashboard!$B$5)^12,IF(Dashboard!$B$14="MRR ($)",$B18*Dashboard!$B$4*(1-Dashboard!$B$5+Dashboard!$B$6)^12,IF(Dashboard!$B$14="Churned Customers",$B18*(1-(1-Dashboard!$B$5)^12),IF(Dashboard!$B$14="Cumulative Revenue ($)",$B18*Dashboard!$B$4*IF(Dashboard!$B$5=Dashboard!$B$6,13,((1-Dashboard!$B$5+Dashboard!$B$6)^13-1)/(Dashboard!$B$6-Dashboard!$B$5)),IF(Dashboard!$B$14="LTV per Customer ($)",IF($B18&gt;0,Dashboard!$B$4*IF(Dashboard!$B$5=Dashboard!$B$6,13,((1-Dashboard!$B$5+Dashboard!$B$6)^13-1)/(Dashboard!$B$6-Dashboard!$B$5)),0),"")))))</f>
        <v>0.41859629747937033</v>
      </c>
      <c r="P18" s="16">
        <f>IF(Dashboard!$B$14="Retention %",(1-Dashboard!$B$5)^13,IF(Dashboard!$B$14="MRR ($)",$B18*Dashboard!$B$4*(1-Dashboard!$B$5+Dashboard!$B$6)^13,IF(Dashboard!$B$14="Churned Customers",$B18*(1-(1-Dashboard!$B$5)^13),IF(Dashboard!$B$14="Cumulative Revenue ($)",$B18*Dashboard!$B$4*IF(Dashboard!$B$5=Dashboard!$B$6,14,((1-Dashboard!$B$5+Dashboard!$B$6)^14-1)/(Dashboard!$B$6-Dashboard!$B$5)),IF(Dashboard!$B$14="LTV per Customer ($)",IF($B18&gt;0,Dashboard!$B$4*IF(Dashboard!$B$5=Dashboard!$B$6,14,((1-Dashboard!$B$5+Dashboard!$B$6)^14-1)/(Dashboard!$B$6-Dashboard!$B$5)),0),"")))))</f>
        <v>0.38929455665581436</v>
      </c>
      <c r="Q18" s="16">
        <f>IF(Dashboard!$B$14="Retention %",(1-Dashboard!$B$5)^14,IF(Dashboard!$B$14="MRR ($)",$B18*Dashboard!$B$4*(1-Dashboard!$B$5+Dashboard!$B$6)^14,IF(Dashboard!$B$14="Churned Customers",$B18*(1-(1-Dashboard!$B$5)^14),IF(Dashboard!$B$14="Cumulative Revenue ($)",$B18*Dashboard!$B$4*IF(Dashboard!$B$5=Dashboard!$B$6,15,((1-Dashboard!$B$5+Dashboard!$B$6)^15-1)/(Dashboard!$B$6-Dashboard!$B$5)),IF(Dashboard!$B$14="LTV per Customer ($)",IF($B18&gt;0,Dashboard!$B$4*IF(Dashboard!$B$5=Dashboard!$B$6,15,((1-Dashboard!$B$5+Dashboard!$B$6)^15-1)/(Dashboard!$B$6-Dashboard!$B$5)),0),"")))))</f>
        <v>0.36204393768990734</v>
      </c>
      <c r="R18" s="16">
        <f>IF(Dashboard!$B$14="Retention %",(1-Dashboard!$B$5)^15,IF(Dashboard!$B$14="MRR ($)",$B18*Dashboard!$B$4*(1-Dashboard!$B$5+Dashboard!$B$6)^15,IF(Dashboard!$B$14="Churned Customers",$B18*(1-(1-Dashboard!$B$5)^15),IF(Dashboard!$B$14="Cumulative Revenue ($)",$B18*Dashboard!$B$4*IF(Dashboard!$B$5=Dashboard!$B$6,16,((1-Dashboard!$B$5+Dashboard!$B$6)^16-1)/(Dashboard!$B$6-Dashboard!$B$5)),IF(Dashboard!$B$14="LTV per Customer ($)",IF($B18&gt;0,Dashboard!$B$4*IF(Dashboard!$B$5=Dashboard!$B$6,16,((1-Dashboard!$B$5+Dashboard!$B$6)^16-1)/(Dashboard!$B$6-Dashboard!$B$5)),0),"")))))</f>
        <v>0.33670086205161381</v>
      </c>
      <c r="S18" s="16">
        <f>IF(Dashboard!$B$14="Retention %",(1-Dashboard!$B$5)^16,IF(Dashboard!$B$14="MRR ($)",$B18*Dashboard!$B$4*(1-Dashboard!$B$5+Dashboard!$B$6)^16,IF(Dashboard!$B$14="Churned Customers",$B18*(1-(1-Dashboard!$B$5)^16),IF(Dashboard!$B$14="Cumulative Revenue ($)",$B18*Dashboard!$B$4*IF(Dashboard!$B$5=Dashboard!$B$6,17,((1-Dashboard!$B$5+Dashboard!$B$6)^17-1)/(Dashboard!$B$6-Dashboard!$B$5)),IF(Dashboard!$B$14="LTV per Customer ($)",IF($B18&gt;0,Dashboard!$B$4*IF(Dashboard!$B$5=Dashboard!$B$6,17,((1-Dashboard!$B$5+Dashboard!$B$6)^17-1)/(Dashboard!$B$6-Dashboard!$B$5)),0),"")))))</f>
        <v>0.31313180170800081</v>
      </c>
      <c r="T18" s="16">
        <f>IF(Dashboard!$B$14="Retention %",(1-Dashboard!$B$5)^17,IF(Dashboard!$B$14="MRR ($)",$B18*Dashboard!$B$4*(1-Dashboard!$B$5+Dashboard!$B$6)^17,IF(Dashboard!$B$14="Churned Customers",$B18*(1-(1-Dashboard!$B$5)^17),IF(Dashboard!$B$14="Cumulative Revenue ($)",$B18*Dashboard!$B$4*IF(Dashboard!$B$5=Dashboard!$B$6,18,((1-Dashboard!$B$5+Dashboard!$B$6)^18-1)/(Dashboard!$B$6-Dashboard!$B$5)),IF(Dashboard!$B$14="LTV per Customer ($)",IF($B18&gt;0,Dashboard!$B$4*IF(Dashboard!$B$5=Dashboard!$B$6,18,((1-Dashboard!$B$5+Dashboard!$B$6)^18-1)/(Dashboard!$B$6-Dashboard!$B$5)),0),"")))))</f>
        <v>0.29121257558844071</v>
      </c>
      <c r="U18" s="16">
        <f>IF(Dashboard!$B$14="Retention %",(1-Dashboard!$B$5)^18,IF(Dashboard!$B$14="MRR ($)",$B18*Dashboard!$B$4*(1-Dashboard!$B$5+Dashboard!$B$6)^18,IF(Dashboard!$B$14="Churned Customers",$B18*(1-(1-Dashboard!$B$5)^18),IF(Dashboard!$B$14="Cumulative Revenue ($)",$B18*Dashboard!$B$4*IF(Dashboard!$B$5=Dashboard!$B$6,19,((1-Dashboard!$B$5+Dashboard!$B$6)^19-1)/(Dashboard!$B$6-Dashboard!$B$5)),IF(Dashboard!$B$14="LTV per Customer ($)",IF($B18&gt;0,Dashboard!$B$4*IF(Dashboard!$B$5=Dashboard!$B$6,19,((1-Dashboard!$B$5+Dashboard!$B$6)^19-1)/(Dashboard!$B$6-Dashboard!$B$5)),0),"")))))</f>
        <v>0.27082769529724987</v>
      </c>
      <c r="V18" s="16">
        <f>IF(Dashboard!$B$14="Retention %",(1-Dashboard!$B$5)^19,IF(Dashboard!$B$14="MRR ($)",$B18*Dashboard!$B$4*(1-Dashboard!$B$5+Dashboard!$B$6)^19,IF(Dashboard!$B$14="Churned Customers",$B18*(1-(1-Dashboard!$B$5)^19),IF(Dashboard!$B$14="Cumulative Revenue ($)",$B18*Dashboard!$B$4*IF(Dashboard!$B$5=Dashboard!$B$6,20,((1-Dashboard!$B$5+Dashboard!$B$6)^20-1)/(Dashboard!$B$6-Dashboard!$B$5)),IF(Dashboard!$B$14="LTV per Customer ($)",IF($B18&gt;0,Dashboard!$B$4*IF(Dashboard!$B$5=Dashboard!$B$6,20,((1-Dashboard!$B$5+Dashboard!$B$6)^20-1)/(Dashboard!$B$6-Dashboard!$B$5)),0),"")))))</f>
        <v>0.2518697566264424</v>
      </c>
      <c r="W18" s="16">
        <f>IF(Dashboard!$B$14="Retention %",(1-Dashboard!$B$5)^20,IF(Dashboard!$B$14="MRR ($)",$B18*Dashboard!$B$4*(1-Dashboard!$B$5+Dashboard!$B$6)^20,IF(Dashboard!$B$14="Churned Customers",$B18*(1-(1-Dashboard!$B$5)^20),IF(Dashboard!$B$14="Cumulative Revenue ($)",$B18*Dashboard!$B$4*IF(Dashboard!$B$5=Dashboard!$B$6,21,((1-Dashboard!$B$5+Dashboard!$B$6)^21-1)/(Dashboard!$B$6-Dashboard!$B$5)),IF(Dashboard!$B$14="LTV per Customer ($)",IF($B18&gt;0,Dashboard!$B$4*IF(Dashboard!$B$5=Dashboard!$B$6,21,((1-Dashboard!$B$5+Dashboard!$B$6)^21-1)/(Dashboard!$B$6-Dashboard!$B$5)),0),"")))))</f>
        <v>0.23423887366259136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21"/>
    </row>
    <row r="19" spans="1:38" x14ac:dyDescent="0.35">
      <c r="A19" s="40" t="s">
        <v>101</v>
      </c>
      <c r="B19" s="44">
        <v>2</v>
      </c>
      <c r="C19" s="46">
        <f>IF(Dashboard!$B$14="Retention %",1,IF(Dashboard!$B$14="MRR ($)",$B19*Dashboard!$B$4,IF(Dashboard!$B$14="Churned Customers",0,IF(Dashboard!$B$14="Cumulative Revenue ($)",$B19*Dashboard!$B$4,IF(Dashboard!$B$14="LTV per Customer ($)",IF($B19&gt;0,Dashboard!$B$4,0),"")))))</f>
        <v>1</v>
      </c>
      <c r="D19" s="37">
        <f>IF(Dashboard!$B$14="Retention %",(1-Dashboard!$B$5)^1,IF(Dashboard!$B$14="MRR ($)",$B19*Dashboard!$B$4*(1-Dashboard!$B$5+Dashboard!$B$6)^1,IF(Dashboard!$B$14="Churned Customers",$B19*(1-(1-Dashboard!$B$5)^1),IF(Dashboard!$B$14="Cumulative Revenue ($)",$B19*Dashboard!$B$4*IF(Dashboard!$B$5=Dashboard!$B$6,2,((1-Dashboard!$B$5+Dashboard!$B$6)^2-1)/(Dashboard!$B$6-Dashboard!$B$5)),IF(Dashboard!$B$14="LTV per Customer ($)",IF($B19&gt;0,Dashboard!$B$4*IF(Dashboard!$B$5=Dashboard!$B$6,2,((1-Dashboard!$B$5+Dashboard!$B$6)^2-1)/(Dashboard!$B$6-Dashboard!$B$5)),0),"")))))</f>
        <v>0.92999999999999994</v>
      </c>
      <c r="E19" s="37">
        <f>IF(Dashboard!$B$14="Retention %",(1-Dashboard!$B$5)^2,IF(Dashboard!$B$14="MRR ($)",$B19*Dashboard!$B$4*(1-Dashboard!$B$5+Dashboard!$B$6)^2,IF(Dashboard!$B$14="Churned Customers",$B19*(1-(1-Dashboard!$B$5)^2),IF(Dashboard!$B$14="Cumulative Revenue ($)",$B19*Dashboard!$B$4*IF(Dashboard!$B$5=Dashboard!$B$6,3,((1-Dashboard!$B$5+Dashboard!$B$6)^3-1)/(Dashboard!$B$6-Dashboard!$B$5)),IF(Dashboard!$B$14="LTV per Customer ($)",IF($B19&gt;0,Dashboard!$B$4*IF(Dashboard!$B$5=Dashboard!$B$6,3,((1-Dashboard!$B$5+Dashboard!$B$6)^3-1)/(Dashboard!$B$6-Dashboard!$B$5)),0),"")))))</f>
        <v>0.86489999999999989</v>
      </c>
      <c r="F19" s="37">
        <f>IF(Dashboard!$B$14="Retention %",(1-Dashboard!$B$5)^3,IF(Dashboard!$B$14="MRR ($)",$B19*Dashboard!$B$4*(1-Dashboard!$B$5+Dashboard!$B$6)^3,IF(Dashboard!$B$14="Churned Customers",$B19*(1-(1-Dashboard!$B$5)^3),IF(Dashboard!$B$14="Cumulative Revenue ($)",$B19*Dashboard!$B$4*IF(Dashboard!$B$5=Dashboard!$B$6,4,((1-Dashboard!$B$5+Dashboard!$B$6)^4-1)/(Dashboard!$B$6-Dashboard!$B$5)),IF(Dashboard!$B$14="LTV per Customer ($)",IF($B19&gt;0,Dashboard!$B$4*IF(Dashboard!$B$5=Dashboard!$B$6,4,((1-Dashboard!$B$5+Dashboard!$B$6)^4-1)/(Dashboard!$B$6-Dashboard!$B$5)),0),"")))))</f>
        <v>0.80435699999999988</v>
      </c>
      <c r="G19" s="37">
        <f>IF(Dashboard!$B$14="Retention %",(1-Dashboard!$B$5)^4,IF(Dashboard!$B$14="MRR ($)",$B19*Dashboard!$B$4*(1-Dashboard!$B$5+Dashboard!$B$6)^4,IF(Dashboard!$B$14="Churned Customers",$B19*(1-(1-Dashboard!$B$5)^4),IF(Dashboard!$B$14="Cumulative Revenue ($)",$B19*Dashboard!$B$4*IF(Dashboard!$B$5=Dashboard!$B$6,5,((1-Dashboard!$B$5+Dashboard!$B$6)^5-1)/(Dashboard!$B$6-Dashboard!$B$5)),IF(Dashboard!$B$14="LTV per Customer ($)",IF($B19&gt;0,Dashboard!$B$4*IF(Dashboard!$B$5=Dashboard!$B$6,5,((1-Dashboard!$B$5+Dashboard!$B$6)^5-1)/(Dashboard!$B$6-Dashboard!$B$5)),0),"")))))</f>
        <v>0.74805200999999977</v>
      </c>
      <c r="H19" s="37">
        <f>IF(Dashboard!$B$14="Retention %",(1-Dashboard!$B$5)^5,IF(Dashboard!$B$14="MRR ($)",$B19*Dashboard!$B$4*(1-Dashboard!$B$5+Dashboard!$B$6)^5,IF(Dashboard!$B$14="Churned Customers",$B19*(1-(1-Dashboard!$B$5)^5),IF(Dashboard!$B$14="Cumulative Revenue ($)",$B19*Dashboard!$B$4*IF(Dashboard!$B$5=Dashboard!$B$6,6,((1-Dashboard!$B$5+Dashboard!$B$6)^6-1)/(Dashboard!$B$6-Dashboard!$B$5)),IF(Dashboard!$B$14="LTV per Customer ($)",IF($B19&gt;0,Dashboard!$B$4*IF(Dashboard!$B$5=Dashboard!$B$6,6,((1-Dashboard!$B$5+Dashboard!$B$6)^6-1)/(Dashboard!$B$6-Dashboard!$B$5)),0),"")))))</f>
        <v>0.69568836929999978</v>
      </c>
      <c r="I19" s="37">
        <f>IF(Dashboard!$B$14="Retention %",(1-Dashboard!$B$5)^6,IF(Dashboard!$B$14="MRR ($)",$B19*Dashboard!$B$4*(1-Dashboard!$B$5+Dashboard!$B$6)^6,IF(Dashboard!$B$14="Churned Customers",$B19*(1-(1-Dashboard!$B$5)^6),IF(Dashboard!$B$14="Cumulative Revenue ($)",$B19*Dashboard!$B$4*IF(Dashboard!$B$5=Dashboard!$B$6,7,((1-Dashboard!$B$5+Dashboard!$B$6)^7-1)/(Dashboard!$B$6-Dashboard!$B$5)),IF(Dashboard!$B$14="LTV per Customer ($)",IF($B19&gt;0,Dashboard!$B$4*IF(Dashboard!$B$5=Dashboard!$B$6,7,((1-Dashboard!$B$5+Dashboard!$B$6)^7-1)/(Dashboard!$B$6-Dashboard!$B$5)),0),"")))))</f>
        <v>0.64699018344899972</v>
      </c>
      <c r="J19" s="37">
        <f>IF(Dashboard!$B$14="Retention %",(1-Dashboard!$B$5)^7,IF(Dashboard!$B$14="MRR ($)",$B19*Dashboard!$B$4*(1-Dashboard!$B$5+Dashboard!$B$6)^7,IF(Dashboard!$B$14="Churned Customers",$B19*(1-(1-Dashboard!$B$5)^7),IF(Dashboard!$B$14="Cumulative Revenue ($)",$B19*Dashboard!$B$4*IF(Dashboard!$B$5=Dashboard!$B$6,8,((1-Dashboard!$B$5+Dashboard!$B$6)^8-1)/(Dashboard!$B$6-Dashboard!$B$5)),IF(Dashboard!$B$14="LTV per Customer ($)",IF($B19&gt;0,Dashboard!$B$4*IF(Dashboard!$B$5=Dashboard!$B$6,8,((1-Dashboard!$B$5+Dashboard!$B$6)^8-1)/(Dashboard!$B$6-Dashboard!$B$5)),0),"")))))</f>
        <v>0.60170087060756972</v>
      </c>
      <c r="K19" s="37">
        <f>IF(Dashboard!$B$14="Retention %",(1-Dashboard!$B$5)^8,IF(Dashboard!$B$14="MRR ($)",$B19*Dashboard!$B$4*(1-Dashboard!$B$5+Dashboard!$B$6)^8,IF(Dashboard!$B$14="Churned Customers",$B19*(1-(1-Dashboard!$B$5)^8),IF(Dashboard!$B$14="Cumulative Revenue ($)",$B19*Dashboard!$B$4*IF(Dashboard!$B$5=Dashboard!$B$6,9,((1-Dashboard!$B$5+Dashboard!$B$6)^9-1)/(Dashboard!$B$6-Dashboard!$B$5)),IF(Dashboard!$B$14="LTV per Customer ($)",IF($B19&gt;0,Dashboard!$B$4*IF(Dashboard!$B$5=Dashboard!$B$6,9,((1-Dashboard!$B$5+Dashboard!$B$6)^9-1)/(Dashboard!$B$6-Dashboard!$B$5)),0),"")))))</f>
        <v>0.55958180966503979</v>
      </c>
      <c r="L19" s="37">
        <f>IF(Dashboard!$B$14="Retention %",(1-Dashboard!$B$5)^9,IF(Dashboard!$B$14="MRR ($)",$B19*Dashboard!$B$4*(1-Dashboard!$B$5+Dashboard!$B$6)^9,IF(Dashboard!$B$14="Churned Customers",$B19*(1-(1-Dashboard!$B$5)^9),IF(Dashboard!$B$14="Cumulative Revenue ($)",$B19*Dashboard!$B$4*IF(Dashboard!$B$5=Dashboard!$B$6,10,((1-Dashboard!$B$5+Dashboard!$B$6)^10-1)/(Dashboard!$B$6-Dashboard!$B$5)),IF(Dashboard!$B$14="LTV per Customer ($)",IF($B19&gt;0,Dashboard!$B$4*IF(Dashboard!$B$5=Dashboard!$B$6,10,((1-Dashboard!$B$5+Dashboard!$B$6)^10-1)/(Dashboard!$B$6-Dashboard!$B$5)),0),"")))))</f>
        <v>0.52041108298848693</v>
      </c>
      <c r="M19" s="17">
        <f>IF(Dashboard!$B$14="Retention %",(1-Dashboard!$B$5)^10,IF(Dashboard!$B$14="MRR ($)",$B19*Dashboard!$B$4*(1-Dashboard!$B$5+Dashboard!$B$6)^10,IF(Dashboard!$B$14="Churned Customers",$B19*(1-(1-Dashboard!$B$5)^10),IF(Dashboard!$B$14="Cumulative Revenue ($)",$B19*Dashboard!$B$4*IF(Dashboard!$B$5=Dashboard!$B$6,11,((1-Dashboard!$B$5+Dashboard!$B$6)^11-1)/(Dashboard!$B$6-Dashboard!$B$5)),IF(Dashboard!$B$14="LTV per Customer ($)",IF($B19&gt;0,Dashboard!$B$4*IF(Dashboard!$B$5=Dashboard!$B$6,11,((1-Dashboard!$B$5+Dashboard!$B$6)^11-1)/(Dashboard!$B$6-Dashboard!$B$5)),0),"")))))</f>
        <v>0.48398230717929286</v>
      </c>
      <c r="N19" s="17">
        <f>IF(Dashboard!$B$14="Retention %",(1-Dashboard!$B$5)^11,IF(Dashboard!$B$14="MRR ($)",$B19*Dashboard!$B$4*(1-Dashboard!$B$5+Dashboard!$B$6)^11,IF(Dashboard!$B$14="Churned Customers",$B19*(1-(1-Dashboard!$B$5)^11),IF(Dashboard!$B$14="Cumulative Revenue ($)",$B19*Dashboard!$B$4*IF(Dashboard!$B$5=Dashboard!$B$6,12,((1-Dashboard!$B$5+Dashboard!$B$6)^12-1)/(Dashboard!$B$6-Dashboard!$B$5)),IF(Dashboard!$B$14="LTV per Customer ($)",IF($B19&gt;0,Dashboard!$B$4*IF(Dashboard!$B$5=Dashboard!$B$6,12,((1-Dashboard!$B$5+Dashboard!$B$6)^12-1)/(Dashboard!$B$6-Dashboard!$B$5)),0),"")))))</f>
        <v>0.45010354567674232</v>
      </c>
      <c r="O19" s="17">
        <f>IF(Dashboard!$B$14="Retention %",(1-Dashboard!$B$5)^12,IF(Dashboard!$B$14="MRR ($)",$B19*Dashboard!$B$4*(1-Dashboard!$B$5+Dashboard!$B$6)^12,IF(Dashboard!$B$14="Churned Customers",$B19*(1-(1-Dashboard!$B$5)^12),IF(Dashboard!$B$14="Cumulative Revenue ($)",$B19*Dashboard!$B$4*IF(Dashboard!$B$5=Dashboard!$B$6,13,((1-Dashboard!$B$5+Dashboard!$B$6)^13-1)/(Dashboard!$B$6-Dashboard!$B$5)),IF(Dashboard!$B$14="LTV per Customer ($)",IF($B19&gt;0,Dashboard!$B$4*IF(Dashboard!$B$5=Dashboard!$B$6,13,((1-Dashboard!$B$5+Dashboard!$B$6)^13-1)/(Dashboard!$B$6-Dashboard!$B$5)),0),"")))))</f>
        <v>0.41859629747937033</v>
      </c>
      <c r="P19" s="17">
        <f>IF(Dashboard!$B$14="Retention %",(1-Dashboard!$B$5)^13,IF(Dashboard!$B$14="MRR ($)",$B19*Dashboard!$B$4*(1-Dashboard!$B$5+Dashboard!$B$6)^13,IF(Dashboard!$B$14="Churned Customers",$B19*(1-(1-Dashboard!$B$5)^13),IF(Dashboard!$B$14="Cumulative Revenue ($)",$B19*Dashboard!$B$4*IF(Dashboard!$B$5=Dashboard!$B$6,14,((1-Dashboard!$B$5+Dashboard!$B$6)^14-1)/(Dashboard!$B$6-Dashboard!$B$5)),IF(Dashboard!$B$14="LTV per Customer ($)",IF($B19&gt;0,Dashboard!$B$4*IF(Dashboard!$B$5=Dashboard!$B$6,14,((1-Dashboard!$B$5+Dashboard!$B$6)^14-1)/(Dashboard!$B$6-Dashboard!$B$5)),0),"")))))</f>
        <v>0.38929455665581436</v>
      </c>
      <c r="Q19" s="17">
        <f>IF(Dashboard!$B$14="Retention %",(1-Dashboard!$B$5)^14,IF(Dashboard!$B$14="MRR ($)",$B19*Dashboard!$B$4*(1-Dashboard!$B$5+Dashboard!$B$6)^14,IF(Dashboard!$B$14="Churned Customers",$B19*(1-(1-Dashboard!$B$5)^14),IF(Dashboard!$B$14="Cumulative Revenue ($)",$B19*Dashboard!$B$4*IF(Dashboard!$B$5=Dashboard!$B$6,15,((1-Dashboard!$B$5+Dashboard!$B$6)^15-1)/(Dashboard!$B$6-Dashboard!$B$5)),IF(Dashboard!$B$14="LTV per Customer ($)",IF($B19&gt;0,Dashboard!$B$4*IF(Dashboard!$B$5=Dashboard!$B$6,15,((1-Dashboard!$B$5+Dashboard!$B$6)^15-1)/(Dashboard!$B$6-Dashboard!$B$5)),0),"")))))</f>
        <v>0.36204393768990734</v>
      </c>
      <c r="R19" s="17">
        <f>IF(Dashboard!$B$14="Retention %",(1-Dashboard!$B$5)^15,IF(Dashboard!$B$14="MRR ($)",$B19*Dashboard!$B$4*(1-Dashboard!$B$5+Dashboard!$B$6)^15,IF(Dashboard!$B$14="Churned Customers",$B19*(1-(1-Dashboard!$B$5)^15),IF(Dashboard!$B$14="Cumulative Revenue ($)",$B19*Dashboard!$B$4*IF(Dashboard!$B$5=Dashboard!$B$6,16,((1-Dashboard!$B$5+Dashboard!$B$6)^16-1)/(Dashboard!$B$6-Dashboard!$B$5)),IF(Dashboard!$B$14="LTV per Customer ($)",IF($B19&gt;0,Dashboard!$B$4*IF(Dashboard!$B$5=Dashboard!$B$6,16,((1-Dashboard!$B$5+Dashboard!$B$6)^16-1)/(Dashboard!$B$6-Dashboard!$B$5)),0),"")))))</f>
        <v>0.33670086205161381</v>
      </c>
      <c r="S19" s="17">
        <f>IF(Dashboard!$B$14="Retention %",(1-Dashboard!$B$5)^16,IF(Dashboard!$B$14="MRR ($)",$B19*Dashboard!$B$4*(1-Dashboard!$B$5+Dashboard!$B$6)^16,IF(Dashboard!$B$14="Churned Customers",$B19*(1-(1-Dashboard!$B$5)^16),IF(Dashboard!$B$14="Cumulative Revenue ($)",$B19*Dashboard!$B$4*IF(Dashboard!$B$5=Dashboard!$B$6,17,((1-Dashboard!$B$5+Dashboard!$B$6)^17-1)/(Dashboard!$B$6-Dashboard!$B$5)),IF(Dashboard!$B$14="LTV per Customer ($)",IF($B19&gt;0,Dashboard!$B$4*IF(Dashboard!$B$5=Dashboard!$B$6,17,((1-Dashboard!$B$5+Dashboard!$B$6)^17-1)/(Dashboard!$B$6-Dashboard!$B$5)),0),"")))))</f>
        <v>0.31313180170800081</v>
      </c>
      <c r="T19" s="17">
        <f>IF(Dashboard!$B$14="Retention %",(1-Dashboard!$B$5)^17,IF(Dashboard!$B$14="MRR ($)",$B19*Dashboard!$B$4*(1-Dashboard!$B$5+Dashboard!$B$6)^17,IF(Dashboard!$B$14="Churned Customers",$B19*(1-(1-Dashboard!$B$5)^17),IF(Dashboard!$B$14="Cumulative Revenue ($)",$B19*Dashboard!$B$4*IF(Dashboard!$B$5=Dashboard!$B$6,18,((1-Dashboard!$B$5+Dashboard!$B$6)^18-1)/(Dashboard!$B$6-Dashboard!$B$5)),IF(Dashboard!$B$14="LTV per Customer ($)",IF($B19&gt;0,Dashboard!$B$4*IF(Dashboard!$B$5=Dashboard!$B$6,18,((1-Dashboard!$B$5+Dashboard!$B$6)^18-1)/(Dashboard!$B$6-Dashboard!$B$5)),0),"")))))</f>
        <v>0.29121257558844071</v>
      </c>
      <c r="U19" s="17">
        <f>IF(Dashboard!$B$14="Retention %",(1-Dashboard!$B$5)^18,IF(Dashboard!$B$14="MRR ($)",$B19*Dashboard!$B$4*(1-Dashboard!$B$5+Dashboard!$B$6)^18,IF(Dashboard!$B$14="Churned Customers",$B19*(1-(1-Dashboard!$B$5)^18),IF(Dashboard!$B$14="Cumulative Revenue ($)",$B19*Dashboard!$B$4*IF(Dashboard!$B$5=Dashboard!$B$6,19,((1-Dashboard!$B$5+Dashboard!$B$6)^19-1)/(Dashboard!$B$6-Dashboard!$B$5)),IF(Dashboard!$B$14="LTV per Customer ($)",IF($B19&gt;0,Dashboard!$B$4*IF(Dashboard!$B$5=Dashboard!$B$6,19,((1-Dashboard!$B$5+Dashboard!$B$6)^19-1)/(Dashboard!$B$6-Dashboard!$B$5)),0),"")))))</f>
        <v>0.27082769529724987</v>
      </c>
      <c r="V19" s="17">
        <f>IF(Dashboard!$B$14="Retention %",(1-Dashboard!$B$5)^19,IF(Dashboard!$B$14="MRR ($)",$B19*Dashboard!$B$4*(1-Dashboard!$B$5+Dashboard!$B$6)^19,IF(Dashboard!$B$14="Churned Customers",$B19*(1-(1-Dashboard!$B$5)^19),IF(Dashboard!$B$14="Cumulative Revenue ($)",$B19*Dashboard!$B$4*IF(Dashboard!$B$5=Dashboard!$B$6,20,((1-Dashboard!$B$5+Dashboard!$B$6)^20-1)/(Dashboard!$B$6-Dashboard!$B$5)),IF(Dashboard!$B$14="LTV per Customer ($)",IF($B19&gt;0,Dashboard!$B$4*IF(Dashboard!$B$5=Dashboard!$B$6,20,((1-Dashboard!$B$5+Dashboard!$B$6)^20-1)/(Dashboard!$B$6-Dashboard!$B$5)),0),"")))))</f>
        <v>0.2518697566264424</v>
      </c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22"/>
    </row>
    <row r="20" spans="1:38" x14ac:dyDescent="0.35">
      <c r="A20" s="40" t="s">
        <v>102</v>
      </c>
      <c r="B20" s="44">
        <v>2</v>
      </c>
      <c r="C20" s="46">
        <f>IF(Dashboard!$B$14="Retention %",1,IF(Dashboard!$B$14="MRR ($)",$B20*Dashboard!$B$4,IF(Dashboard!$B$14="Churned Customers",0,IF(Dashboard!$B$14="Cumulative Revenue ($)",$B20*Dashboard!$B$4,IF(Dashboard!$B$14="LTV per Customer ($)",IF($B20&gt;0,Dashboard!$B$4,0),"")))))</f>
        <v>1</v>
      </c>
      <c r="D20" s="36">
        <f>IF(Dashboard!$B$14="Retention %",(1-Dashboard!$B$5)^1,IF(Dashboard!$B$14="MRR ($)",$B20*Dashboard!$B$4*(1-Dashboard!$B$5+Dashboard!$B$6)^1,IF(Dashboard!$B$14="Churned Customers",$B20*(1-(1-Dashboard!$B$5)^1),IF(Dashboard!$B$14="Cumulative Revenue ($)",$B20*Dashboard!$B$4*IF(Dashboard!$B$5=Dashboard!$B$6,2,((1-Dashboard!$B$5+Dashboard!$B$6)^2-1)/(Dashboard!$B$6-Dashboard!$B$5)),IF(Dashboard!$B$14="LTV per Customer ($)",IF($B20&gt;0,Dashboard!$B$4*IF(Dashboard!$B$5=Dashboard!$B$6,2,((1-Dashboard!$B$5+Dashboard!$B$6)^2-1)/(Dashboard!$B$6-Dashboard!$B$5)),0),"")))))</f>
        <v>0.92999999999999994</v>
      </c>
      <c r="E20" s="36">
        <f>IF(Dashboard!$B$14="Retention %",(1-Dashboard!$B$5)^2,IF(Dashboard!$B$14="MRR ($)",$B20*Dashboard!$B$4*(1-Dashboard!$B$5+Dashboard!$B$6)^2,IF(Dashboard!$B$14="Churned Customers",$B20*(1-(1-Dashboard!$B$5)^2),IF(Dashboard!$B$14="Cumulative Revenue ($)",$B20*Dashboard!$B$4*IF(Dashboard!$B$5=Dashboard!$B$6,3,((1-Dashboard!$B$5+Dashboard!$B$6)^3-1)/(Dashboard!$B$6-Dashboard!$B$5)),IF(Dashboard!$B$14="LTV per Customer ($)",IF($B20&gt;0,Dashboard!$B$4*IF(Dashboard!$B$5=Dashboard!$B$6,3,((1-Dashboard!$B$5+Dashboard!$B$6)^3-1)/(Dashboard!$B$6-Dashboard!$B$5)),0),"")))))</f>
        <v>0.86489999999999989</v>
      </c>
      <c r="F20" s="36">
        <f>IF(Dashboard!$B$14="Retention %",(1-Dashboard!$B$5)^3,IF(Dashboard!$B$14="MRR ($)",$B20*Dashboard!$B$4*(1-Dashboard!$B$5+Dashboard!$B$6)^3,IF(Dashboard!$B$14="Churned Customers",$B20*(1-(1-Dashboard!$B$5)^3),IF(Dashboard!$B$14="Cumulative Revenue ($)",$B20*Dashboard!$B$4*IF(Dashboard!$B$5=Dashboard!$B$6,4,((1-Dashboard!$B$5+Dashboard!$B$6)^4-1)/(Dashboard!$B$6-Dashboard!$B$5)),IF(Dashboard!$B$14="LTV per Customer ($)",IF($B20&gt;0,Dashboard!$B$4*IF(Dashboard!$B$5=Dashboard!$B$6,4,((1-Dashboard!$B$5+Dashboard!$B$6)^4-1)/(Dashboard!$B$6-Dashboard!$B$5)),0),"")))))</f>
        <v>0.80435699999999988</v>
      </c>
      <c r="G20" s="36">
        <f>IF(Dashboard!$B$14="Retention %",(1-Dashboard!$B$5)^4,IF(Dashboard!$B$14="MRR ($)",$B20*Dashboard!$B$4*(1-Dashboard!$B$5+Dashboard!$B$6)^4,IF(Dashboard!$B$14="Churned Customers",$B20*(1-(1-Dashboard!$B$5)^4),IF(Dashboard!$B$14="Cumulative Revenue ($)",$B20*Dashboard!$B$4*IF(Dashboard!$B$5=Dashboard!$B$6,5,((1-Dashboard!$B$5+Dashboard!$B$6)^5-1)/(Dashboard!$B$6-Dashboard!$B$5)),IF(Dashboard!$B$14="LTV per Customer ($)",IF($B20&gt;0,Dashboard!$B$4*IF(Dashboard!$B$5=Dashboard!$B$6,5,((1-Dashboard!$B$5+Dashboard!$B$6)^5-1)/(Dashboard!$B$6-Dashboard!$B$5)),0),"")))))</f>
        <v>0.74805200999999977</v>
      </c>
      <c r="H20" s="36">
        <f>IF(Dashboard!$B$14="Retention %",(1-Dashboard!$B$5)^5,IF(Dashboard!$B$14="MRR ($)",$B20*Dashboard!$B$4*(1-Dashboard!$B$5+Dashboard!$B$6)^5,IF(Dashboard!$B$14="Churned Customers",$B20*(1-(1-Dashboard!$B$5)^5),IF(Dashboard!$B$14="Cumulative Revenue ($)",$B20*Dashboard!$B$4*IF(Dashboard!$B$5=Dashboard!$B$6,6,((1-Dashboard!$B$5+Dashboard!$B$6)^6-1)/(Dashboard!$B$6-Dashboard!$B$5)),IF(Dashboard!$B$14="LTV per Customer ($)",IF($B20&gt;0,Dashboard!$B$4*IF(Dashboard!$B$5=Dashboard!$B$6,6,((1-Dashboard!$B$5+Dashboard!$B$6)^6-1)/(Dashboard!$B$6-Dashboard!$B$5)),0),"")))))</f>
        <v>0.69568836929999978</v>
      </c>
      <c r="I20" s="36">
        <f>IF(Dashboard!$B$14="Retention %",(1-Dashboard!$B$5)^6,IF(Dashboard!$B$14="MRR ($)",$B20*Dashboard!$B$4*(1-Dashboard!$B$5+Dashboard!$B$6)^6,IF(Dashboard!$B$14="Churned Customers",$B20*(1-(1-Dashboard!$B$5)^6),IF(Dashboard!$B$14="Cumulative Revenue ($)",$B20*Dashboard!$B$4*IF(Dashboard!$B$5=Dashboard!$B$6,7,((1-Dashboard!$B$5+Dashboard!$B$6)^7-1)/(Dashboard!$B$6-Dashboard!$B$5)),IF(Dashboard!$B$14="LTV per Customer ($)",IF($B20&gt;0,Dashboard!$B$4*IF(Dashboard!$B$5=Dashboard!$B$6,7,((1-Dashboard!$B$5+Dashboard!$B$6)^7-1)/(Dashboard!$B$6-Dashboard!$B$5)),0),"")))))</f>
        <v>0.64699018344899972</v>
      </c>
      <c r="J20" s="36">
        <f>IF(Dashboard!$B$14="Retention %",(1-Dashboard!$B$5)^7,IF(Dashboard!$B$14="MRR ($)",$B20*Dashboard!$B$4*(1-Dashboard!$B$5+Dashboard!$B$6)^7,IF(Dashboard!$B$14="Churned Customers",$B20*(1-(1-Dashboard!$B$5)^7),IF(Dashboard!$B$14="Cumulative Revenue ($)",$B20*Dashboard!$B$4*IF(Dashboard!$B$5=Dashboard!$B$6,8,((1-Dashboard!$B$5+Dashboard!$B$6)^8-1)/(Dashboard!$B$6-Dashboard!$B$5)),IF(Dashboard!$B$14="LTV per Customer ($)",IF($B20&gt;0,Dashboard!$B$4*IF(Dashboard!$B$5=Dashboard!$B$6,8,((1-Dashboard!$B$5+Dashboard!$B$6)^8-1)/(Dashboard!$B$6-Dashboard!$B$5)),0),"")))))</f>
        <v>0.60170087060756972</v>
      </c>
      <c r="K20" s="36">
        <f>IF(Dashboard!$B$14="Retention %",(1-Dashboard!$B$5)^8,IF(Dashboard!$B$14="MRR ($)",$B20*Dashboard!$B$4*(1-Dashboard!$B$5+Dashboard!$B$6)^8,IF(Dashboard!$B$14="Churned Customers",$B20*(1-(1-Dashboard!$B$5)^8),IF(Dashboard!$B$14="Cumulative Revenue ($)",$B20*Dashboard!$B$4*IF(Dashboard!$B$5=Dashboard!$B$6,9,((1-Dashboard!$B$5+Dashboard!$B$6)^9-1)/(Dashboard!$B$6-Dashboard!$B$5)),IF(Dashboard!$B$14="LTV per Customer ($)",IF($B20&gt;0,Dashboard!$B$4*IF(Dashboard!$B$5=Dashboard!$B$6,9,((1-Dashboard!$B$5+Dashboard!$B$6)^9-1)/(Dashboard!$B$6-Dashboard!$B$5)),0),"")))))</f>
        <v>0.55958180966503979</v>
      </c>
      <c r="L20" s="36">
        <f>IF(Dashboard!$B$14="Retention %",(1-Dashboard!$B$5)^9,IF(Dashboard!$B$14="MRR ($)",$B20*Dashboard!$B$4*(1-Dashboard!$B$5+Dashboard!$B$6)^9,IF(Dashboard!$B$14="Churned Customers",$B20*(1-(1-Dashboard!$B$5)^9),IF(Dashboard!$B$14="Cumulative Revenue ($)",$B20*Dashboard!$B$4*IF(Dashboard!$B$5=Dashboard!$B$6,10,((1-Dashboard!$B$5+Dashboard!$B$6)^10-1)/(Dashboard!$B$6-Dashboard!$B$5)),IF(Dashboard!$B$14="LTV per Customer ($)",IF($B20&gt;0,Dashboard!$B$4*IF(Dashboard!$B$5=Dashboard!$B$6,10,((1-Dashboard!$B$5+Dashboard!$B$6)^10-1)/(Dashboard!$B$6-Dashboard!$B$5)),0),"")))))</f>
        <v>0.52041108298848693</v>
      </c>
      <c r="M20" s="16">
        <f>IF(Dashboard!$B$14="Retention %",(1-Dashboard!$B$5)^10,IF(Dashboard!$B$14="MRR ($)",$B20*Dashboard!$B$4*(1-Dashboard!$B$5+Dashboard!$B$6)^10,IF(Dashboard!$B$14="Churned Customers",$B20*(1-(1-Dashboard!$B$5)^10),IF(Dashboard!$B$14="Cumulative Revenue ($)",$B20*Dashboard!$B$4*IF(Dashboard!$B$5=Dashboard!$B$6,11,((1-Dashboard!$B$5+Dashboard!$B$6)^11-1)/(Dashboard!$B$6-Dashboard!$B$5)),IF(Dashboard!$B$14="LTV per Customer ($)",IF($B20&gt;0,Dashboard!$B$4*IF(Dashboard!$B$5=Dashboard!$B$6,11,((1-Dashboard!$B$5+Dashboard!$B$6)^11-1)/(Dashboard!$B$6-Dashboard!$B$5)),0),"")))))</f>
        <v>0.48398230717929286</v>
      </c>
      <c r="N20" s="16">
        <f>IF(Dashboard!$B$14="Retention %",(1-Dashboard!$B$5)^11,IF(Dashboard!$B$14="MRR ($)",$B20*Dashboard!$B$4*(1-Dashboard!$B$5+Dashboard!$B$6)^11,IF(Dashboard!$B$14="Churned Customers",$B20*(1-(1-Dashboard!$B$5)^11),IF(Dashboard!$B$14="Cumulative Revenue ($)",$B20*Dashboard!$B$4*IF(Dashboard!$B$5=Dashboard!$B$6,12,((1-Dashboard!$B$5+Dashboard!$B$6)^12-1)/(Dashboard!$B$6-Dashboard!$B$5)),IF(Dashboard!$B$14="LTV per Customer ($)",IF($B20&gt;0,Dashboard!$B$4*IF(Dashboard!$B$5=Dashboard!$B$6,12,((1-Dashboard!$B$5+Dashboard!$B$6)^12-1)/(Dashboard!$B$6-Dashboard!$B$5)),0),"")))))</f>
        <v>0.45010354567674232</v>
      </c>
      <c r="O20" s="16">
        <f>IF(Dashboard!$B$14="Retention %",(1-Dashboard!$B$5)^12,IF(Dashboard!$B$14="MRR ($)",$B20*Dashboard!$B$4*(1-Dashboard!$B$5+Dashboard!$B$6)^12,IF(Dashboard!$B$14="Churned Customers",$B20*(1-(1-Dashboard!$B$5)^12),IF(Dashboard!$B$14="Cumulative Revenue ($)",$B20*Dashboard!$B$4*IF(Dashboard!$B$5=Dashboard!$B$6,13,((1-Dashboard!$B$5+Dashboard!$B$6)^13-1)/(Dashboard!$B$6-Dashboard!$B$5)),IF(Dashboard!$B$14="LTV per Customer ($)",IF($B20&gt;0,Dashboard!$B$4*IF(Dashboard!$B$5=Dashboard!$B$6,13,((1-Dashboard!$B$5+Dashboard!$B$6)^13-1)/(Dashboard!$B$6-Dashboard!$B$5)),0),"")))))</f>
        <v>0.41859629747937033</v>
      </c>
      <c r="P20" s="16">
        <f>IF(Dashboard!$B$14="Retention %",(1-Dashboard!$B$5)^13,IF(Dashboard!$B$14="MRR ($)",$B20*Dashboard!$B$4*(1-Dashboard!$B$5+Dashboard!$B$6)^13,IF(Dashboard!$B$14="Churned Customers",$B20*(1-(1-Dashboard!$B$5)^13),IF(Dashboard!$B$14="Cumulative Revenue ($)",$B20*Dashboard!$B$4*IF(Dashboard!$B$5=Dashboard!$B$6,14,((1-Dashboard!$B$5+Dashboard!$B$6)^14-1)/(Dashboard!$B$6-Dashboard!$B$5)),IF(Dashboard!$B$14="LTV per Customer ($)",IF($B20&gt;0,Dashboard!$B$4*IF(Dashboard!$B$5=Dashboard!$B$6,14,((1-Dashboard!$B$5+Dashboard!$B$6)^14-1)/(Dashboard!$B$6-Dashboard!$B$5)),0),"")))))</f>
        <v>0.38929455665581436</v>
      </c>
      <c r="Q20" s="16">
        <f>IF(Dashboard!$B$14="Retention %",(1-Dashboard!$B$5)^14,IF(Dashboard!$B$14="MRR ($)",$B20*Dashboard!$B$4*(1-Dashboard!$B$5+Dashboard!$B$6)^14,IF(Dashboard!$B$14="Churned Customers",$B20*(1-(1-Dashboard!$B$5)^14),IF(Dashboard!$B$14="Cumulative Revenue ($)",$B20*Dashboard!$B$4*IF(Dashboard!$B$5=Dashboard!$B$6,15,((1-Dashboard!$B$5+Dashboard!$B$6)^15-1)/(Dashboard!$B$6-Dashboard!$B$5)),IF(Dashboard!$B$14="LTV per Customer ($)",IF($B20&gt;0,Dashboard!$B$4*IF(Dashboard!$B$5=Dashboard!$B$6,15,((1-Dashboard!$B$5+Dashboard!$B$6)^15-1)/(Dashboard!$B$6-Dashboard!$B$5)),0),"")))))</f>
        <v>0.36204393768990734</v>
      </c>
      <c r="R20" s="16">
        <f>IF(Dashboard!$B$14="Retention %",(1-Dashboard!$B$5)^15,IF(Dashboard!$B$14="MRR ($)",$B20*Dashboard!$B$4*(1-Dashboard!$B$5+Dashboard!$B$6)^15,IF(Dashboard!$B$14="Churned Customers",$B20*(1-(1-Dashboard!$B$5)^15),IF(Dashboard!$B$14="Cumulative Revenue ($)",$B20*Dashboard!$B$4*IF(Dashboard!$B$5=Dashboard!$B$6,16,((1-Dashboard!$B$5+Dashboard!$B$6)^16-1)/(Dashboard!$B$6-Dashboard!$B$5)),IF(Dashboard!$B$14="LTV per Customer ($)",IF($B20&gt;0,Dashboard!$B$4*IF(Dashboard!$B$5=Dashboard!$B$6,16,((1-Dashboard!$B$5+Dashboard!$B$6)^16-1)/(Dashboard!$B$6-Dashboard!$B$5)),0),"")))))</f>
        <v>0.33670086205161381</v>
      </c>
      <c r="S20" s="16">
        <f>IF(Dashboard!$B$14="Retention %",(1-Dashboard!$B$5)^16,IF(Dashboard!$B$14="MRR ($)",$B20*Dashboard!$B$4*(1-Dashboard!$B$5+Dashboard!$B$6)^16,IF(Dashboard!$B$14="Churned Customers",$B20*(1-(1-Dashboard!$B$5)^16),IF(Dashboard!$B$14="Cumulative Revenue ($)",$B20*Dashboard!$B$4*IF(Dashboard!$B$5=Dashboard!$B$6,17,((1-Dashboard!$B$5+Dashboard!$B$6)^17-1)/(Dashboard!$B$6-Dashboard!$B$5)),IF(Dashboard!$B$14="LTV per Customer ($)",IF($B20&gt;0,Dashboard!$B$4*IF(Dashboard!$B$5=Dashboard!$B$6,17,((1-Dashboard!$B$5+Dashboard!$B$6)^17-1)/(Dashboard!$B$6-Dashboard!$B$5)),0),"")))))</f>
        <v>0.31313180170800081</v>
      </c>
      <c r="T20" s="16">
        <f>IF(Dashboard!$B$14="Retention %",(1-Dashboard!$B$5)^17,IF(Dashboard!$B$14="MRR ($)",$B20*Dashboard!$B$4*(1-Dashboard!$B$5+Dashboard!$B$6)^17,IF(Dashboard!$B$14="Churned Customers",$B20*(1-(1-Dashboard!$B$5)^17),IF(Dashboard!$B$14="Cumulative Revenue ($)",$B20*Dashboard!$B$4*IF(Dashboard!$B$5=Dashboard!$B$6,18,((1-Dashboard!$B$5+Dashboard!$B$6)^18-1)/(Dashboard!$B$6-Dashboard!$B$5)),IF(Dashboard!$B$14="LTV per Customer ($)",IF($B20&gt;0,Dashboard!$B$4*IF(Dashboard!$B$5=Dashboard!$B$6,18,((1-Dashboard!$B$5+Dashboard!$B$6)^18-1)/(Dashboard!$B$6-Dashboard!$B$5)),0),"")))))</f>
        <v>0.29121257558844071</v>
      </c>
      <c r="U20" s="16">
        <f>IF(Dashboard!$B$14="Retention %",(1-Dashboard!$B$5)^18,IF(Dashboard!$B$14="MRR ($)",$B20*Dashboard!$B$4*(1-Dashboard!$B$5+Dashboard!$B$6)^18,IF(Dashboard!$B$14="Churned Customers",$B20*(1-(1-Dashboard!$B$5)^18),IF(Dashboard!$B$14="Cumulative Revenue ($)",$B20*Dashboard!$B$4*IF(Dashboard!$B$5=Dashboard!$B$6,19,((1-Dashboard!$B$5+Dashboard!$B$6)^19-1)/(Dashboard!$B$6-Dashboard!$B$5)),IF(Dashboard!$B$14="LTV per Customer ($)",IF($B20&gt;0,Dashboard!$B$4*IF(Dashboard!$B$5=Dashboard!$B$6,19,((1-Dashboard!$B$5+Dashboard!$B$6)^19-1)/(Dashboard!$B$6-Dashboard!$B$5)),0),"")))))</f>
        <v>0.27082769529724987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21"/>
    </row>
    <row r="21" spans="1:38" x14ac:dyDescent="0.35">
      <c r="A21" s="40" t="s">
        <v>103</v>
      </c>
      <c r="B21" s="44">
        <v>1</v>
      </c>
      <c r="C21" s="46">
        <f>IF(Dashboard!$B$14="Retention %",1,IF(Dashboard!$B$14="MRR ($)",$B21*Dashboard!$B$4,IF(Dashboard!$B$14="Churned Customers",0,IF(Dashboard!$B$14="Cumulative Revenue ($)",$B21*Dashboard!$B$4,IF(Dashboard!$B$14="LTV per Customer ($)",IF($B21&gt;0,Dashboard!$B$4,0),"")))))</f>
        <v>1</v>
      </c>
      <c r="D21" s="37">
        <f>IF(Dashboard!$B$14="Retention %",(1-Dashboard!$B$5)^1,IF(Dashboard!$B$14="MRR ($)",$B21*Dashboard!$B$4*(1-Dashboard!$B$5+Dashboard!$B$6)^1,IF(Dashboard!$B$14="Churned Customers",$B21*(1-(1-Dashboard!$B$5)^1),IF(Dashboard!$B$14="Cumulative Revenue ($)",$B21*Dashboard!$B$4*IF(Dashboard!$B$5=Dashboard!$B$6,2,((1-Dashboard!$B$5+Dashboard!$B$6)^2-1)/(Dashboard!$B$6-Dashboard!$B$5)),IF(Dashboard!$B$14="LTV per Customer ($)",IF($B21&gt;0,Dashboard!$B$4*IF(Dashboard!$B$5=Dashboard!$B$6,2,((1-Dashboard!$B$5+Dashboard!$B$6)^2-1)/(Dashboard!$B$6-Dashboard!$B$5)),0),"")))))</f>
        <v>0.92999999999999994</v>
      </c>
      <c r="E21" s="37">
        <f>IF(Dashboard!$B$14="Retention %",(1-Dashboard!$B$5)^2,IF(Dashboard!$B$14="MRR ($)",$B21*Dashboard!$B$4*(1-Dashboard!$B$5+Dashboard!$B$6)^2,IF(Dashboard!$B$14="Churned Customers",$B21*(1-(1-Dashboard!$B$5)^2),IF(Dashboard!$B$14="Cumulative Revenue ($)",$B21*Dashboard!$B$4*IF(Dashboard!$B$5=Dashboard!$B$6,3,((1-Dashboard!$B$5+Dashboard!$B$6)^3-1)/(Dashboard!$B$6-Dashboard!$B$5)),IF(Dashboard!$B$14="LTV per Customer ($)",IF($B21&gt;0,Dashboard!$B$4*IF(Dashboard!$B$5=Dashboard!$B$6,3,((1-Dashboard!$B$5+Dashboard!$B$6)^3-1)/(Dashboard!$B$6-Dashboard!$B$5)),0),"")))))</f>
        <v>0.86489999999999989</v>
      </c>
      <c r="F21" s="37">
        <f>IF(Dashboard!$B$14="Retention %",(1-Dashboard!$B$5)^3,IF(Dashboard!$B$14="MRR ($)",$B21*Dashboard!$B$4*(1-Dashboard!$B$5+Dashboard!$B$6)^3,IF(Dashboard!$B$14="Churned Customers",$B21*(1-(1-Dashboard!$B$5)^3),IF(Dashboard!$B$14="Cumulative Revenue ($)",$B21*Dashboard!$B$4*IF(Dashboard!$B$5=Dashboard!$B$6,4,((1-Dashboard!$B$5+Dashboard!$B$6)^4-1)/(Dashboard!$B$6-Dashboard!$B$5)),IF(Dashboard!$B$14="LTV per Customer ($)",IF($B21&gt;0,Dashboard!$B$4*IF(Dashboard!$B$5=Dashboard!$B$6,4,((1-Dashboard!$B$5+Dashboard!$B$6)^4-1)/(Dashboard!$B$6-Dashboard!$B$5)),0),"")))))</f>
        <v>0.80435699999999988</v>
      </c>
      <c r="G21" s="37">
        <f>IF(Dashboard!$B$14="Retention %",(1-Dashboard!$B$5)^4,IF(Dashboard!$B$14="MRR ($)",$B21*Dashboard!$B$4*(1-Dashboard!$B$5+Dashboard!$B$6)^4,IF(Dashboard!$B$14="Churned Customers",$B21*(1-(1-Dashboard!$B$5)^4),IF(Dashboard!$B$14="Cumulative Revenue ($)",$B21*Dashboard!$B$4*IF(Dashboard!$B$5=Dashboard!$B$6,5,((1-Dashboard!$B$5+Dashboard!$B$6)^5-1)/(Dashboard!$B$6-Dashboard!$B$5)),IF(Dashboard!$B$14="LTV per Customer ($)",IF($B21&gt;0,Dashboard!$B$4*IF(Dashboard!$B$5=Dashboard!$B$6,5,((1-Dashboard!$B$5+Dashboard!$B$6)^5-1)/(Dashboard!$B$6-Dashboard!$B$5)),0),"")))))</f>
        <v>0.74805200999999977</v>
      </c>
      <c r="H21" s="37">
        <f>IF(Dashboard!$B$14="Retention %",(1-Dashboard!$B$5)^5,IF(Dashboard!$B$14="MRR ($)",$B21*Dashboard!$B$4*(1-Dashboard!$B$5+Dashboard!$B$6)^5,IF(Dashboard!$B$14="Churned Customers",$B21*(1-(1-Dashboard!$B$5)^5),IF(Dashboard!$B$14="Cumulative Revenue ($)",$B21*Dashboard!$B$4*IF(Dashboard!$B$5=Dashboard!$B$6,6,((1-Dashboard!$B$5+Dashboard!$B$6)^6-1)/(Dashboard!$B$6-Dashboard!$B$5)),IF(Dashboard!$B$14="LTV per Customer ($)",IF($B21&gt;0,Dashboard!$B$4*IF(Dashboard!$B$5=Dashboard!$B$6,6,((1-Dashboard!$B$5+Dashboard!$B$6)^6-1)/(Dashboard!$B$6-Dashboard!$B$5)),0),"")))))</f>
        <v>0.69568836929999978</v>
      </c>
      <c r="I21" s="37">
        <f>IF(Dashboard!$B$14="Retention %",(1-Dashboard!$B$5)^6,IF(Dashboard!$B$14="MRR ($)",$B21*Dashboard!$B$4*(1-Dashboard!$B$5+Dashboard!$B$6)^6,IF(Dashboard!$B$14="Churned Customers",$B21*(1-(1-Dashboard!$B$5)^6),IF(Dashboard!$B$14="Cumulative Revenue ($)",$B21*Dashboard!$B$4*IF(Dashboard!$B$5=Dashboard!$B$6,7,((1-Dashboard!$B$5+Dashboard!$B$6)^7-1)/(Dashboard!$B$6-Dashboard!$B$5)),IF(Dashboard!$B$14="LTV per Customer ($)",IF($B21&gt;0,Dashboard!$B$4*IF(Dashboard!$B$5=Dashboard!$B$6,7,((1-Dashboard!$B$5+Dashboard!$B$6)^7-1)/(Dashboard!$B$6-Dashboard!$B$5)),0),"")))))</f>
        <v>0.64699018344899972</v>
      </c>
      <c r="J21" s="37">
        <f>IF(Dashboard!$B$14="Retention %",(1-Dashboard!$B$5)^7,IF(Dashboard!$B$14="MRR ($)",$B21*Dashboard!$B$4*(1-Dashboard!$B$5+Dashboard!$B$6)^7,IF(Dashboard!$B$14="Churned Customers",$B21*(1-(1-Dashboard!$B$5)^7),IF(Dashboard!$B$14="Cumulative Revenue ($)",$B21*Dashboard!$B$4*IF(Dashboard!$B$5=Dashboard!$B$6,8,((1-Dashboard!$B$5+Dashboard!$B$6)^8-1)/(Dashboard!$B$6-Dashboard!$B$5)),IF(Dashboard!$B$14="LTV per Customer ($)",IF($B21&gt;0,Dashboard!$B$4*IF(Dashboard!$B$5=Dashboard!$B$6,8,((1-Dashboard!$B$5+Dashboard!$B$6)^8-1)/(Dashboard!$B$6-Dashboard!$B$5)),0),"")))))</f>
        <v>0.60170087060756972</v>
      </c>
      <c r="K21" s="37">
        <f>IF(Dashboard!$B$14="Retention %",(1-Dashboard!$B$5)^8,IF(Dashboard!$B$14="MRR ($)",$B21*Dashboard!$B$4*(1-Dashboard!$B$5+Dashboard!$B$6)^8,IF(Dashboard!$B$14="Churned Customers",$B21*(1-(1-Dashboard!$B$5)^8),IF(Dashboard!$B$14="Cumulative Revenue ($)",$B21*Dashboard!$B$4*IF(Dashboard!$B$5=Dashboard!$B$6,9,((1-Dashboard!$B$5+Dashboard!$B$6)^9-1)/(Dashboard!$B$6-Dashboard!$B$5)),IF(Dashboard!$B$14="LTV per Customer ($)",IF($B21&gt;0,Dashboard!$B$4*IF(Dashboard!$B$5=Dashboard!$B$6,9,((1-Dashboard!$B$5+Dashboard!$B$6)^9-1)/(Dashboard!$B$6-Dashboard!$B$5)),0),"")))))</f>
        <v>0.55958180966503979</v>
      </c>
      <c r="L21" s="37">
        <f>IF(Dashboard!$B$14="Retention %",(1-Dashboard!$B$5)^9,IF(Dashboard!$B$14="MRR ($)",$B21*Dashboard!$B$4*(1-Dashboard!$B$5+Dashboard!$B$6)^9,IF(Dashboard!$B$14="Churned Customers",$B21*(1-(1-Dashboard!$B$5)^9),IF(Dashboard!$B$14="Cumulative Revenue ($)",$B21*Dashboard!$B$4*IF(Dashboard!$B$5=Dashboard!$B$6,10,((1-Dashboard!$B$5+Dashboard!$B$6)^10-1)/(Dashboard!$B$6-Dashboard!$B$5)),IF(Dashboard!$B$14="LTV per Customer ($)",IF($B21&gt;0,Dashboard!$B$4*IF(Dashboard!$B$5=Dashboard!$B$6,10,((1-Dashboard!$B$5+Dashboard!$B$6)^10-1)/(Dashboard!$B$6-Dashboard!$B$5)),0),"")))))</f>
        <v>0.52041108298848693</v>
      </c>
      <c r="M21" s="17">
        <f>IF(Dashboard!$B$14="Retention %",(1-Dashboard!$B$5)^10,IF(Dashboard!$B$14="MRR ($)",$B21*Dashboard!$B$4*(1-Dashboard!$B$5+Dashboard!$B$6)^10,IF(Dashboard!$B$14="Churned Customers",$B21*(1-(1-Dashboard!$B$5)^10),IF(Dashboard!$B$14="Cumulative Revenue ($)",$B21*Dashboard!$B$4*IF(Dashboard!$B$5=Dashboard!$B$6,11,((1-Dashboard!$B$5+Dashboard!$B$6)^11-1)/(Dashboard!$B$6-Dashboard!$B$5)),IF(Dashboard!$B$14="LTV per Customer ($)",IF($B21&gt;0,Dashboard!$B$4*IF(Dashboard!$B$5=Dashboard!$B$6,11,((1-Dashboard!$B$5+Dashboard!$B$6)^11-1)/(Dashboard!$B$6-Dashboard!$B$5)),0),"")))))</f>
        <v>0.48398230717929286</v>
      </c>
      <c r="N21" s="17">
        <f>IF(Dashboard!$B$14="Retention %",(1-Dashboard!$B$5)^11,IF(Dashboard!$B$14="MRR ($)",$B21*Dashboard!$B$4*(1-Dashboard!$B$5+Dashboard!$B$6)^11,IF(Dashboard!$B$14="Churned Customers",$B21*(1-(1-Dashboard!$B$5)^11),IF(Dashboard!$B$14="Cumulative Revenue ($)",$B21*Dashboard!$B$4*IF(Dashboard!$B$5=Dashboard!$B$6,12,((1-Dashboard!$B$5+Dashboard!$B$6)^12-1)/(Dashboard!$B$6-Dashboard!$B$5)),IF(Dashboard!$B$14="LTV per Customer ($)",IF($B21&gt;0,Dashboard!$B$4*IF(Dashboard!$B$5=Dashboard!$B$6,12,((1-Dashboard!$B$5+Dashboard!$B$6)^12-1)/(Dashboard!$B$6-Dashboard!$B$5)),0),"")))))</f>
        <v>0.45010354567674232</v>
      </c>
      <c r="O21" s="17">
        <f>IF(Dashboard!$B$14="Retention %",(1-Dashboard!$B$5)^12,IF(Dashboard!$B$14="MRR ($)",$B21*Dashboard!$B$4*(1-Dashboard!$B$5+Dashboard!$B$6)^12,IF(Dashboard!$B$14="Churned Customers",$B21*(1-(1-Dashboard!$B$5)^12),IF(Dashboard!$B$14="Cumulative Revenue ($)",$B21*Dashboard!$B$4*IF(Dashboard!$B$5=Dashboard!$B$6,13,((1-Dashboard!$B$5+Dashboard!$B$6)^13-1)/(Dashboard!$B$6-Dashboard!$B$5)),IF(Dashboard!$B$14="LTV per Customer ($)",IF($B21&gt;0,Dashboard!$B$4*IF(Dashboard!$B$5=Dashboard!$B$6,13,((1-Dashboard!$B$5+Dashboard!$B$6)^13-1)/(Dashboard!$B$6-Dashboard!$B$5)),0),"")))))</f>
        <v>0.41859629747937033</v>
      </c>
      <c r="P21" s="17">
        <f>IF(Dashboard!$B$14="Retention %",(1-Dashboard!$B$5)^13,IF(Dashboard!$B$14="MRR ($)",$B21*Dashboard!$B$4*(1-Dashboard!$B$5+Dashboard!$B$6)^13,IF(Dashboard!$B$14="Churned Customers",$B21*(1-(1-Dashboard!$B$5)^13),IF(Dashboard!$B$14="Cumulative Revenue ($)",$B21*Dashboard!$B$4*IF(Dashboard!$B$5=Dashboard!$B$6,14,((1-Dashboard!$B$5+Dashboard!$B$6)^14-1)/(Dashboard!$B$6-Dashboard!$B$5)),IF(Dashboard!$B$14="LTV per Customer ($)",IF($B21&gt;0,Dashboard!$B$4*IF(Dashboard!$B$5=Dashboard!$B$6,14,((1-Dashboard!$B$5+Dashboard!$B$6)^14-1)/(Dashboard!$B$6-Dashboard!$B$5)),0),"")))))</f>
        <v>0.38929455665581436</v>
      </c>
      <c r="Q21" s="17">
        <f>IF(Dashboard!$B$14="Retention %",(1-Dashboard!$B$5)^14,IF(Dashboard!$B$14="MRR ($)",$B21*Dashboard!$B$4*(1-Dashboard!$B$5+Dashboard!$B$6)^14,IF(Dashboard!$B$14="Churned Customers",$B21*(1-(1-Dashboard!$B$5)^14),IF(Dashboard!$B$14="Cumulative Revenue ($)",$B21*Dashboard!$B$4*IF(Dashboard!$B$5=Dashboard!$B$6,15,((1-Dashboard!$B$5+Dashboard!$B$6)^15-1)/(Dashboard!$B$6-Dashboard!$B$5)),IF(Dashboard!$B$14="LTV per Customer ($)",IF($B21&gt;0,Dashboard!$B$4*IF(Dashboard!$B$5=Dashboard!$B$6,15,((1-Dashboard!$B$5+Dashboard!$B$6)^15-1)/(Dashboard!$B$6-Dashboard!$B$5)),0),"")))))</f>
        <v>0.36204393768990734</v>
      </c>
      <c r="R21" s="17">
        <f>IF(Dashboard!$B$14="Retention %",(1-Dashboard!$B$5)^15,IF(Dashboard!$B$14="MRR ($)",$B21*Dashboard!$B$4*(1-Dashboard!$B$5+Dashboard!$B$6)^15,IF(Dashboard!$B$14="Churned Customers",$B21*(1-(1-Dashboard!$B$5)^15),IF(Dashboard!$B$14="Cumulative Revenue ($)",$B21*Dashboard!$B$4*IF(Dashboard!$B$5=Dashboard!$B$6,16,((1-Dashboard!$B$5+Dashboard!$B$6)^16-1)/(Dashboard!$B$6-Dashboard!$B$5)),IF(Dashboard!$B$14="LTV per Customer ($)",IF($B21&gt;0,Dashboard!$B$4*IF(Dashboard!$B$5=Dashboard!$B$6,16,((1-Dashboard!$B$5+Dashboard!$B$6)^16-1)/(Dashboard!$B$6-Dashboard!$B$5)),0),"")))))</f>
        <v>0.33670086205161381</v>
      </c>
      <c r="S21" s="17">
        <f>IF(Dashboard!$B$14="Retention %",(1-Dashboard!$B$5)^16,IF(Dashboard!$B$14="MRR ($)",$B21*Dashboard!$B$4*(1-Dashboard!$B$5+Dashboard!$B$6)^16,IF(Dashboard!$B$14="Churned Customers",$B21*(1-(1-Dashboard!$B$5)^16),IF(Dashboard!$B$14="Cumulative Revenue ($)",$B21*Dashboard!$B$4*IF(Dashboard!$B$5=Dashboard!$B$6,17,((1-Dashboard!$B$5+Dashboard!$B$6)^17-1)/(Dashboard!$B$6-Dashboard!$B$5)),IF(Dashboard!$B$14="LTV per Customer ($)",IF($B21&gt;0,Dashboard!$B$4*IF(Dashboard!$B$5=Dashboard!$B$6,17,((1-Dashboard!$B$5+Dashboard!$B$6)^17-1)/(Dashboard!$B$6-Dashboard!$B$5)),0),"")))))</f>
        <v>0.31313180170800081</v>
      </c>
      <c r="T21" s="17">
        <f>IF(Dashboard!$B$14="Retention %",(1-Dashboard!$B$5)^17,IF(Dashboard!$B$14="MRR ($)",$B21*Dashboard!$B$4*(1-Dashboard!$B$5+Dashboard!$B$6)^17,IF(Dashboard!$B$14="Churned Customers",$B21*(1-(1-Dashboard!$B$5)^17),IF(Dashboard!$B$14="Cumulative Revenue ($)",$B21*Dashboard!$B$4*IF(Dashboard!$B$5=Dashboard!$B$6,18,((1-Dashboard!$B$5+Dashboard!$B$6)^18-1)/(Dashboard!$B$6-Dashboard!$B$5)),IF(Dashboard!$B$14="LTV per Customer ($)",IF($B21&gt;0,Dashboard!$B$4*IF(Dashboard!$B$5=Dashboard!$B$6,18,((1-Dashboard!$B$5+Dashboard!$B$6)^18-1)/(Dashboard!$B$6-Dashboard!$B$5)),0),"")))))</f>
        <v>0.29121257558844071</v>
      </c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22"/>
    </row>
    <row r="22" spans="1:38" x14ac:dyDescent="0.35">
      <c r="A22" s="40" t="s">
        <v>104</v>
      </c>
      <c r="B22" s="44">
        <v>1</v>
      </c>
      <c r="C22" s="46">
        <f>IF(Dashboard!$B$14="Retention %",1,IF(Dashboard!$B$14="MRR ($)",$B22*Dashboard!$B$4,IF(Dashboard!$B$14="Churned Customers",0,IF(Dashboard!$B$14="Cumulative Revenue ($)",$B22*Dashboard!$B$4,IF(Dashboard!$B$14="LTV per Customer ($)",IF($B22&gt;0,Dashboard!$B$4,0),"")))))</f>
        <v>1</v>
      </c>
      <c r="D22" s="36">
        <f>IF(Dashboard!$B$14="Retention %",(1-Dashboard!$B$5)^1,IF(Dashboard!$B$14="MRR ($)",$B22*Dashboard!$B$4*(1-Dashboard!$B$5+Dashboard!$B$6)^1,IF(Dashboard!$B$14="Churned Customers",$B22*(1-(1-Dashboard!$B$5)^1),IF(Dashboard!$B$14="Cumulative Revenue ($)",$B22*Dashboard!$B$4*IF(Dashboard!$B$5=Dashboard!$B$6,2,((1-Dashboard!$B$5+Dashboard!$B$6)^2-1)/(Dashboard!$B$6-Dashboard!$B$5)),IF(Dashboard!$B$14="LTV per Customer ($)",IF($B22&gt;0,Dashboard!$B$4*IF(Dashboard!$B$5=Dashboard!$B$6,2,((1-Dashboard!$B$5+Dashboard!$B$6)^2-1)/(Dashboard!$B$6-Dashboard!$B$5)),0),"")))))</f>
        <v>0.92999999999999994</v>
      </c>
      <c r="E22" s="36">
        <f>IF(Dashboard!$B$14="Retention %",(1-Dashboard!$B$5)^2,IF(Dashboard!$B$14="MRR ($)",$B22*Dashboard!$B$4*(1-Dashboard!$B$5+Dashboard!$B$6)^2,IF(Dashboard!$B$14="Churned Customers",$B22*(1-(1-Dashboard!$B$5)^2),IF(Dashboard!$B$14="Cumulative Revenue ($)",$B22*Dashboard!$B$4*IF(Dashboard!$B$5=Dashboard!$B$6,3,((1-Dashboard!$B$5+Dashboard!$B$6)^3-1)/(Dashboard!$B$6-Dashboard!$B$5)),IF(Dashboard!$B$14="LTV per Customer ($)",IF($B22&gt;0,Dashboard!$B$4*IF(Dashboard!$B$5=Dashboard!$B$6,3,((1-Dashboard!$B$5+Dashboard!$B$6)^3-1)/(Dashboard!$B$6-Dashboard!$B$5)),0),"")))))</f>
        <v>0.86489999999999989</v>
      </c>
      <c r="F22" s="36">
        <f>IF(Dashboard!$B$14="Retention %",(1-Dashboard!$B$5)^3,IF(Dashboard!$B$14="MRR ($)",$B22*Dashboard!$B$4*(1-Dashboard!$B$5+Dashboard!$B$6)^3,IF(Dashboard!$B$14="Churned Customers",$B22*(1-(1-Dashboard!$B$5)^3),IF(Dashboard!$B$14="Cumulative Revenue ($)",$B22*Dashboard!$B$4*IF(Dashboard!$B$5=Dashboard!$B$6,4,((1-Dashboard!$B$5+Dashboard!$B$6)^4-1)/(Dashboard!$B$6-Dashboard!$B$5)),IF(Dashboard!$B$14="LTV per Customer ($)",IF($B22&gt;0,Dashboard!$B$4*IF(Dashboard!$B$5=Dashboard!$B$6,4,((1-Dashboard!$B$5+Dashboard!$B$6)^4-1)/(Dashboard!$B$6-Dashboard!$B$5)),0),"")))))</f>
        <v>0.80435699999999988</v>
      </c>
      <c r="G22" s="36">
        <f>IF(Dashboard!$B$14="Retention %",(1-Dashboard!$B$5)^4,IF(Dashboard!$B$14="MRR ($)",$B22*Dashboard!$B$4*(1-Dashboard!$B$5+Dashboard!$B$6)^4,IF(Dashboard!$B$14="Churned Customers",$B22*(1-(1-Dashboard!$B$5)^4),IF(Dashboard!$B$14="Cumulative Revenue ($)",$B22*Dashboard!$B$4*IF(Dashboard!$B$5=Dashboard!$B$6,5,((1-Dashboard!$B$5+Dashboard!$B$6)^5-1)/(Dashboard!$B$6-Dashboard!$B$5)),IF(Dashboard!$B$14="LTV per Customer ($)",IF($B22&gt;0,Dashboard!$B$4*IF(Dashboard!$B$5=Dashboard!$B$6,5,((1-Dashboard!$B$5+Dashboard!$B$6)^5-1)/(Dashboard!$B$6-Dashboard!$B$5)),0),"")))))</f>
        <v>0.74805200999999977</v>
      </c>
      <c r="H22" s="36">
        <f>IF(Dashboard!$B$14="Retention %",(1-Dashboard!$B$5)^5,IF(Dashboard!$B$14="MRR ($)",$B22*Dashboard!$B$4*(1-Dashboard!$B$5+Dashboard!$B$6)^5,IF(Dashboard!$B$14="Churned Customers",$B22*(1-(1-Dashboard!$B$5)^5),IF(Dashboard!$B$14="Cumulative Revenue ($)",$B22*Dashboard!$B$4*IF(Dashboard!$B$5=Dashboard!$B$6,6,((1-Dashboard!$B$5+Dashboard!$B$6)^6-1)/(Dashboard!$B$6-Dashboard!$B$5)),IF(Dashboard!$B$14="LTV per Customer ($)",IF($B22&gt;0,Dashboard!$B$4*IF(Dashboard!$B$5=Dashboard!$B$6,6,((1-Dashboard!$B$5+Dashboard!$B$6)^6-1)/(Dashboard!$B$6-Dashboard!$B$5)),0),"")))))</f>
        <v>0.69568836929999978</v>
      </c>
      <c r="I22" s="36">
        <f>IF(Dashboard!$B$14="Retention %",(1-Dashboard!$B$5)^6,IF(Dashboard!$B$14="MRR ($)",$B22*Dashboard!$B$4*(1-Dashboard!$B$5+Dashboard!$B$6)^6,IF(Dashboard!$B$14="Churned Customers",$B22*(1-(1-Dashboard!$B$5)^6),IF(Dashboard!$B$14="Cumulative Revenue ($)",$B22*Dashboard!$B$4*IF(Dashboard!$B$5=Dashboard!$B$6,7,((1-Dashboard!$B$5+Dashboard!$B$6)^7-1)/(Dashboard!$B$6-Dashboard!$B$5)),IF(Dashboard!$B$14="LTV per Customer ($)",IF($B22&gt;0,Dashboard!$B$4*IF(Dashboard!$B$5=Dashboard!$B$6,7,((1-Dashboard!$B$5+Dashboard!$B$6)^7-1)/(Dashboard!$B$6-Dashboard!$B$5)),0),"")))))</f>
        <v>0.64699018344899972</v>
      </c>
      <c r="J22" s="36">
        <f>IF(Dashboard!$B$14="Retention %",(1-Dashboard!$B$5)^7,IF(Dashboard!$B$14="MRR ($)",$B22*Dashboard!$B$4*(1-Dashboard!$B$5+Dashboard!$B$6)^7,IF(Dashboard!$B$14="Churned Customers",$B22*(1-(1-Dashboard!$B$5)^7),IF(Dashboard!$B$14="Cumulative Revenue ($)",$B22*Dashboard!$B$4*IF(Dashboard!$B$5=Dashboard!$B$6,8,((1-Dashboard!$B$5+Dashboard!$B$6)^8-1)/(Dashboard!$B$6-Dashboard!$B$5)),IF(Dashboard!$B$14="LTV per Customer ($)",IF($B22&gt;0,Dashboard!$B$4*IF(Dashboard!$B$5=Dashboard!$B$6,8,((1-Dashboard!$B$5+Dashboard!$B$6)^8-1)/(Dashboard!$B$6-Dashboard!$B$5)),0),"")))))</f>
        <v>0.60170087060756972</v>
      </c>
      <c r="K22" s="36">
        <f>IF(Dashboard!$B$14="Retention %",(1-Dashboard!$B$5)^8,IF(Dashboard!$B$14="MRR ($)",$B22*Dashboard!$B$4*(1-Dashboard!$B$5+Dashboard!$B$6)^8,IF(Dashboard!$B$14="Churned Customers",$B22*(1-(1-Dashboard!$B$5)^8),IF(Dashboard!$B$14="Cumulative Revenue ($)",$B22*Dashboard!$B$4*IF(Dashboard!$B$5=Dashboard!$B$6,9,((1-Dashboard!$B$5+Dashboard!$B$6)^9-1)/(Dashboard!$B$6-Dashboard!$B$5)),IF(Dashboard!$B$14="LTV per Customer ($)",IF($B22&gt;0,Dashboard!$B$4*IF(Dashboard!$B$5=Dashboard!$B$6,9,((1-Dashboard!$B$5+Dashboard!$B$6)^9-1)/(Dashboard!$B$6-Dashboard!$B$5)),0),"")))))</f>
        <v>0.55958180966503979</v>
      </c>
      <c r="L22" s="36">
        <f>IF(Dashboard!$B$14="Retention %",(1-Dashboard!$B$5)^9,IF(Dashboard!$B$14="MRR ($)",$B22*Dashboard!$B$4*(1-Dashboard!$B$5+Dashboard!$B$6)^9,IF(Dashboard!$B$14="Churned Customers",$B22*(1-(1-Dashboard!$B$5)^9),IF(Dashboard!$B$14="Cumulative Revenue ($)",$B22*Dashboard!$B$4*IF(Dashboard!$B$5=Dashboard!$B$6,10,((1-Dashboard!$B$5+Dashboard!$B$6)^10-1)/(Dashboard!$B$6-Dashboard!$B$5)),IF(Dashboard!$B$14="LTV per Customer ($)",IF($B22&gt;0,Dashboard!$B$4*IF(Dashboard!$B$5=Dashboard!$B$6,10,((1-Dashboard!$B$5+Dashboard!$B$6)^10-1)/(Dashboard!$B$6-Dashboard!$B$5)),0),"")))))</f>
        <v>0.52041108298848693</v>
      </c>
      <c r="M22" s="16">
        <f>IF(Dashboard!$B$14="Retention %",(1-Dashboard!$B$5)^10,IF(Dashboard!$B$14="MRR ($)",$B22*Dashboard!$B$4*(1-Dashboard!$B$5+Dashboard!$B$6)^10,IF(Dashboard!$B$14="Churned Customers",$B22*(1-(1-Dashboard!$B$5)^10),IF(Dashboard!$B$14="Cumulative Revenue ($)",$B22*Dashboard!$B$4*IF(Dashboard!$B$5=Dashboard!$B$6,11,((1-Dashboard!$B$5+Dashboard!$B$6)^11-1)/(Dashboard!$B$6-Dashboard!$B$5)),IF(Dashboard!$B$14="LTV per Customer ($)",IF($B22&gt;0,Dashboard!$B$4*IF(Dashboard!$B$5=Dashboard!$B$6,11,((1-Dashboard!$B$5+Dashboard!$B$6)^11-1)/(Dashboard!$B$6-Dashboard!$B$5)),0),"")))))</f>
        <v>0.48398230717929286</v>
      </c>
      <c r="N22" s="16">
        <f>IF(Dashboard!$B$14="Retention %",(1-Dashboard!$B$5)^11,IF(Dashboard!$B$14="MRR ($)",$B22*Dashboard!$B$4*(1-Dashboard!$B$5+Dashboard!$B$6)^11,IF(Dashboard!$B$14="Churned Customers",$B22*(1-(1-Dashboard!$B$5)^11),IF(Dashboard!$B$14="Cumulative Revenue ($)",$B22*Dashboard!$B$4*IF(Dashboard!$B$5=Dashboard!$B$6,12,((1-Dashboard!$B$5+Dashboard!$B$6)^12-1)/(Dashboard!$B$6-Dashboard!$B$5)),IF(Dashboard!$B$14="LTV per Customer ($)",IF($B22&gt;0,Dashboard!$B$4*IF(Dashboard!$B$5=Dashboard!$B$6,12,((1-Dashboard!$B$5+Dashboard!$B$6)^12-1)/(Dashboard!$B$6-Dashboard!$B$5)),0),"")))))</f>
        <v>0.45010354567674232</v>
      </c>
      <c r="O22" s="16">
        <f>IF(Dashboard!$B$14="Retention %",(1-Dashboard!$B$5)^12,IF(Dashboard!$B$14="MRR ($)",$B22*Dashboard!$B$4*(1-Dashboard!$B$5+Dashboard!$B$6)^12,IF(Dashboard!$B$14="Churned Customers",$B22*(1-(1-Dashboard!$B$5)^12),IF(Dashboard!$B$14="Cumulative Revenue ($)",$B22*Dashboard!$B$4*IF(Dashboard!$B$5=Dashboard!$B$6,13,((1-Dashboard!$B$5+Dashboard!$B$6)^13-1)/(Dashboard!$B$6-Dashboard!$B$5)),IF(Dashboard!$B$14="LTV per Customer ($)",IF($B22&gt;0,Dashboard!$B$4*IF(Dashboard!$B$5=Dashboard!$B$6,13,((1-Dashboard!$B$5+Dashboard!$B$6)^13-1)/(Dashboard!$B$6-Dashboard!$B$5)),0),"")))))</f>
        <v>0.41859629747937033</v>
      </c>
      <c r="P22" s="16">
        <f>IF(Dashboard!$B$14="Retention %",(1-Dashboard!$B$5)^13,IF(Dashboard!$B$14="MRR ($)",$B22*Dashboard!$B$4*(1-Dashboard!$B$5+Dashboard!$B$6)^13,IF(Dashboard!$B$14="Churned Customers",$B22*(1-(1-Dashboard!$B$5)^13),IF(Dashboard!$B$14="Cumulative Revenue ($)",$B22*Dashboard!$B$4*IF(Dashboard!$B$5=Dashboard!$B$6,14,((1-Dashboard!$B$5+Dashboard!$B$6)^14-1)/(Dashboard!$B$6-Dashboard!$B$5)),IF(Dashboard!$B$14="LTV per Customer ($)",IF($B22&gt;0,Dashboard!$B$4*IF(Dashboard!$B$5=Dashboard!$B$6,14,((1-Dashboard!$B$5+Dashboard!$B$6)^14-1)/(Dashboard!$B$6-Dashboard!$B$5)),0),"")))))</f>
        <v>0.38929455665581436</v>
      </c>
      <c r="Q22" s="16">
        <f>IF(Dashboard!$B$14="Retention %",(1-Dashboard!$B$5)^14,IF(Dashboard!$B$14="MRR ($)",$B22*Dashboard!$B$4*(1-Dashboard!$B$5+Dashboard!$B$6)^14,IF(Dashboard!$B$14="Churned Customers",$B22*(1-(1-Dashboard!$B$5)^14),IF(Dashboard!$B$14="Cumulative Revenue ($)",$B22*Dashboard!$B$4*IF(Dashboard!$B$5=Dashboard!$B$6,15,((1-Dashboard!$B$5+Dashboard!$B$6)^15-1)/(Dashboard!$B$6-Dashboard!$B$5)),IF(Dashboard!$B$14="LTV per Customer ($)",IF($B22&gt;0,Dashboard!$B$4*IF(Dashboard!$B$5=Dashboard!$B$6,15,((1-Dashboard!$B$5+Dashboard!$B$6)^15-1)/(Dashboard!$B$6-Dashboard!$B$5)),0),"")))))</f>
        <v>0.36204393768990734</v>
      </c>
      <c r="R22" s="16">
        <f>IF(Dashboard!$B$14="Retention %",(1-Dashboard!$B$5)^15,IF(Dashboard!$B$14="MRR ($)",$B22*Dashboard!$B$4*(1-Dashboard!$B$5+Dashboard!$B$6)^15,IF(Dashboard!$B$14="Churned Customers",$B22*(1-(1-Dashboard!$B$5)^15),IF(Dashboard!$B$14="Cumulative Revenue ($)",$B22*Dashboard!$B$4*IF(Dashboard!$B$5=Dashboard!$B$6,16,((1-Dashboard!$B$5+Dashboard!$B$6)^16-1)/(Dashboard!$B$6-Dashboard!$B$5)),IF(Dashboard!$B$14="LTV per Customer ($)",IF($B22&gt;0,Dashboard!$B$4*IF(Dashboard!$B$5=Dashboard!$B$6,16,((1-Dashboard!$B$5+Dashboard!$B$6)^16-1)/(Dashboard!$B$6-Dashboard!$B$5)),0),"")))))</f>
        <v>0.33670086205161381</v>
      </c>
      <c r="S22" s="16">
        <f>IF(Dashboard!$B$14="Retention %",(1-Dashboard!$B$5)^16,IF(Dashboard!$B$14="MRR ($)",$B22*Dashboard!$B$4*(1-Dashboard!$B$5+Dashboard!$B$6)^16,IF(Dashboard!$B$14="Churned Customers",$B22*(1-(1-Dashboard!$B$5)^16),IF(Dashboard!$B$14="Cumulative Revenue ($)",$B22*Dashboard!$B$4*IF(Dashboard!$B$5=Dashboard!$B$6,17,((1-Dashboard!$B$5+Dashboard!$B$6)^17-1)/(Dashboard!$B$6-Dashboard!$B$5)),IF(Dashboard!$B$14="LTV per Customer ($)",IF($B22&gt;0,Dashboard!$B$4*IF(Dashboard!$B$5=Dashboard!$B$6,17,((1-Dashboard!$B$5+Dashboard!$B$6)^17-1)/(Dashboard!$B$6-Dashboard!$B$5)),0),"")))))</f>
        <v>0.31313180170800081</v>
      </c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21"/>
    </row>
    <row r="23" spans="1:38" x14ac:dyDescent="0.35">
      <c r="A23" s="40" t="s">
        <v>105</v>
      </c>
      <c r="B23" s="44">
        <v>2</v>
      </c>
      <c r="C23" s="46">
        <f>IF(Dashboard!$B$14="Retention %",1,IF(Dashboard!$B$14="MRR ($)",$B23*Dashboard!$B$4,IF(Dashboard!$B$14="Churned Customers",0,IF(Dashboard!$B$14="Cumulative Revenue ($)",$B23*Dashboard!$B$4,IF(Dashboard!$B$14="LTV per Customer ($)",IF($B23&gt;0,Dashboard!$B$4,0),"")))))</f>
        <v>1</v>
      </c>
      <c r="D23" s="37">
        <f>IF(Dashboard!$B$14="Retention %",(1-Dashboard!$B$5)^1,IF(Dashboard!$B$14="MRR ($)",$B23*Dashboard!$B$4*(1-Dashboard!$B$5+Dashboard!$B$6)^1,IF(Dashboard!$B$14="Churned Customers",$B23*(1-(1-Dashboard!$B$5)^1),IF(Dashboard!$B$14="Cumulative Revenue ($)",$B23*Dashboard!$B$4*IF(Dashboard!$B$5=Dashboard!$B$6,2,((1-Dashboard!$B$5+Dashboard!$B$6)^2-1)/(Dashboard!$B$6-Dashboard!$B$5)),IF(Dashboard!$B$14="LTV per Customer ($)",IF($B23&gt;0,Dashboard!$B$4*IF(Dashboard!$B$5=Dashboard!$B$6,2,((1-Dashboard!$B$5+Dashboard!$B$6)^2-1)/(Dashboard!$B$6-Dashboard!$B$5)),0),"")))))</f>
        <v>0.92999999999999994</v>
      </c>
      <c r="E23" s="37">
        <f>IF(Dashboard!$B$14="Retention %",(1-Dashboard!$B$5)^2,IF(Dashboard!$B$14="MRR ($)",$B23*Dashboard!$B$4*(1-Dashboard!$B$5+Dashboard!$B$6)^2,IF(Dashboard!$B$14="Churned Customers",$B23*(1-(1-Dashboard!$B$5)^2),IF(Dashboard!$B$14="Cumulative Revenue ($)",$B23*Dashboard!$B$4*IF(Dashboard!$B$5=Dashboard!$B$6,3,((1-Dashboard!$B$5+Dashboard!$B$6)^3-1)/(Dashboard!$B$6-Dashboard!$B$5)),IF(Dashboard!$B$14="LTV per Customer ($)",IF($B23&gt;0,Dashboard!$B$4*IF(Dashboard!$B$5=Dashboard!$B$6,3,((1-Dashboard!$B$5+Dashboard!$B$6)^3-1)/(Dashboard!$B$6-Dashboard!$B$5)),0),"")))))</f>
        <v>0.86489999999999989</v>
      </c>
      <c r="F23" s="37">
        <f>IF(Dashboard!$B$14="Retention %",(1-Dashboard!$B$5)^3,IF(Dashboard!$B$14="MRR ($)",$B23*Dashboard!$B$4*(1-Dashboard!$B$5+Dashboard!$B$6)^3,IF(Dashboard!$B$14="Churned Customers",$B23*(1-(1-Dashboard!$B$5)^3),IF(Dashboard!$B$14="Cumulative Revenue ($)",$B23*Dashboard!$B$4*IF(Dashboard!$B$5=Dashboard!$B$6,4,((1-Dashboard!$B$5+Dashboard!$B$6)^4-1)/(Dashboard!$B$6-Dashboard!$B$5)),IF(Dashboard!$B$14="LTV per Customer ($)",IF($B23&gt;0,Dashboard!$B$4*IF(Dashboard!$B$5=Dashboard!$B$6,4,((1-Dashboard!$B$5+Dashboard!$B$6)^4-1)/(Dashboard!$B$6-Dashboard!$B$5)),0),"")))))</f>
        <v>0.80435699999999988</v>
      </c>
      <c r="G23" s="37">
        <f>IF(Dashboard!$B$14="Retention %",(1-Dashboard!$B$5)^4,IF(Dashboard!$B$14="MRR ($)",$B23*Dashboard!$B$4*(1-Dashboard!$B$5+Dashboard!$B$6)^4,IF(Dashboard!$B$14="Churned Customers",$B23*(1-(1-Dashboard!$B$5)^4),IF(Dashboard!$B$14="Cumulative Revenue ($)",$B23*Dashboard!$B$4*IF(Dashboard!$B$5=Dashboard!$B$6,5,((1-Dashboard!$B$5+Dashboard!$B$6)^5-1)/(Dashboard!$B$6-Dashboard!$B$5)),IF(Dashboard!$B$14="LTV per Customer ($)",IF($B23&gt;0,Dashboard!$B$4*IF(Dashboard!$B$5=Dashboard!$B$6,5,((1-Dashboard!$B$5+Dashboard!$B$6)^5-1)/(Dashboard!$B$6-Dashboard!$B$5)),0),"")))))</f>
        <v>0.74805200999999977</v>
      </c>
      <c r="H23" s="37">
        <f>IF(Dashboard!$B$14="Retention %",(1-Dashboard!$B$5)^5,IF(Dashboard!$B$14="MRR ($)",$B23*Dashboard!$B$4*(1-Dashboard!$B$5+Dashboard!$B$6)^5,IF(Dashboard!$B$14="Churned Customers",$B23*(1-(1-Dashboard!$B$5)^5),IF(Dashboard!$B$14="Cumulative Revenue ($)",$B23*Dashboard!$B$4*IF(Dashboard!$B$5=Dashboard!$B$6,6,((1-Dashboard!$B$5+Dashboard!$B$6)^6-1)/(Dashboard!$B$6-Dashboard!$B$5)),IF(Dashboard!$B$14="LTV per Customer ($)",IF($B23&gt;0,Dashboard!$B$4*IF(Dashboard!$B$5=Dashboard!$B$6,6,((1-Dashboard!$B$5+Dashboard!$B$6)^6-1)/(Dashboard!$B$6-Dashboard!$B$5)),0),"")))))</f>
        <v>0.69568836929999978</v>
      </c>
      <c r="I23" s="37">
        <f>IF(Dashboard!$B$14="Retention %",(1-Dashboard!$B$5)^6,IF(Dashboard!$B$14="MRR ($)",$B23*Dashboard!$B$4*(1-Dashboard!$B$5+Dashboard!$B$6)^6,IF(Dashboard!$B$14="Churned Customers",$B23*(1-(1-Dashboard!$B$5)^6),IF(Dashboard!$B$14="Cumulative Revenue ($)",$B23*Dashboard!$B$4*IF(Dashboard!$B$5=Dashboard!$B$6,7,((1-Dashboard!$B$5+Dashboard!$B$6)^7-1)/(Dashboard!$B$6-Dashboard!$B$5)),IF(Dashboard!$B$14="LTV per Customer ($)",IF($B23&gt;0,Dashboard!$B$4*IF(Dashboard!$B$5=Dashboard!$B$6,7,((1-Dashboard!$B$5+Dashboard!$B$6)^7-1)/(Dashboard!$B$6-Dashboard!$B$5)),0),"")))))</f>
        <v>0.64699018344899972</v>
      </c>
      <c r="J23" s="37">
        <f>IF(Dashboard!$B$14="Retention %",(1-Dashboard!$B$5)^7,IF(Dashboard!$B$14="MRR ($)",$B23*Dashboard!$B$4*(1-Dashboard!$B$5+Dashboard!$B$6)^7,IF(Dashboard!$B$14="Churned Customers",$B23*(1-(1-Dashboard!$B$5)^7),IF(Dashboard!$B$14="Cumulative Revenue ($)",$B23*Dashboard!$B$4*IF(Dashboard!$B$5=Dashboard!$B$6,8,((1-Dashboard!$B$5+Dashboard!$B$6)^8-1)/(Dashboard!$B$6-Dashboard!$B$5)),IF(Dashboard!$B$14="LTV per Customer ($)",IF($B23&gt;0,Dashboard!$B$4*IF(Dashboard!$B$5=Dashboard!$B$6,8,((1-Dashboard!$B$5+Dashboard!$B$6)^8-1)/(Dashboard!$B$6-Dashboard!$B$5)),0),"")))))</f>
        <v>0.60170087060756972</v>
      </c>
      <c r="K23" s="37">
        <f>IF(Dashboard!$B$14="Retention %",(1-Dashboard!$B$5)^8,IF(Dashboard!$B$14="MRR ($)",$B23*Dashboard!$B$4*(1-Dashboard!$B$5+Dashboard!$B$6)^8,IF(Dashboard!$B$14="Churned Customers",$B23*(1-(1-Dashboard!$B$5)^8),IF(Dashboard!$B$14="Cumulative Revenue ($)",$B23*Dashboard!$B$4*IF(Dashboard!$B$5=Dashboard!$B$6,9,((1-Dashboard!$B$5+Dashboard!$B$6)^9-1)/(Dashboard!$B$6-Dashboard!$B$5)),IF(Dashboard!$B$14="LTV per Customer ($)",IF($B23&gt;0,Dashboard!$B$4*IF(Dashboard!$B$5=Dashboard!$B$6,9,((1-Dashboard!$B$5+Dashboard!$B$6)^9-1)/(Dashboard!$B$6-Dashboard!$B$5)),0),"")))))</f>
        <v>0.55958180966503979</v>
      </c>
      <c r="L23" s="37">
        <f>IF(Dashboard!$B$14="Retention %",(1-Dashboard!$B$5)^9,IF(Dashboard!$B$14="MRR ($)",$B23*Dashboard!$B$4*(1-Dashboard!$B$5+Dashboard!$B$6)^9,IF(Dashboard!$B$14="Churned Customers",$B23*(1-(1-Dashboard!$B$5)^9),IF(Dashboard!$B$14="Cumulative Revenue ($)",$B23*Dashboard!$B$4*IF(Dashboard!$B$5=Dashboard!$B$6,10,((1-Dashboard!$B$5+Dashboard!$B$6)^10-1)/(Dashboard!$B$6-Dashboard!$B$5)),IF(Dashboard!$B$14="LTV per Customer ($)",IF($B23&gt;0,Dashboard!$B$4*IF(Dashboard!$B$5=Dashboard!$B$6,10,((1-Dashboard!$B$5+Dashboard!$B$6)^10-1)/(Dashboard!$B$6-Dashboard!$B$5)),0),"")))))</f>
        <v>0.52041108298848693</v>
      </c>
      <c r="M23" s="17">
        <f>IF(Dashboard!$B$14="Retention %",(1-Dashboard!$B$5)^10,IF(Dashboard!$B$14="MRR ($)",$B23*Dashboard!$B$4*(1-Dashboard!$B$5+Dashboard!$B$6)^10,IF(Dashboard!$B$14="Churned Customers",$B23*(1-(1-Dashboard!$B$5)^10),IF(Dashboard!$B$14="Cumulative Revenue ($)",$B23*Dashboard!$B$4*IF(Dashboard!$B$5=Dashboard!$B$6,11,((1-Dashboard!$B$5+Dashboard!$B$6)^11-1)/(Dashboard!$B$6-Dashboard!$B$5)),IF(Dashboard!$B$14="LTV per Customer ($)",IF($B23&gt;0,Dashboard!$B$4*IF(Dashboard!$B$5=Dashboard!$B$6,11,((1-Dashboard!$B$5+Dashboard!$B$6)^11-1)/(Dashboard!$B$6-Dashboard!$B$5)),0),"")))))</f>
        <v>0.48398230717929286</v>
      </c>
      <c r="N23" s="17">
        <f>IF(Dashboard!$B$14="Retention %",(1-Dashboard!$B$5)^11,IF(Dashboard!$B$14="MRR ($)",$B23*Dashboard!$B$4*(1-Dashboard!$B$5+Dashboard!$B$6)^11,IF(Dashboard!$B$14="Churned Customers",$B23*(1-(1-Dashboard!$B$5)^11),IF(Dashboard!$B$14="Cumulative Revenue ($)",$B23*Dashboard!$B$4*IF(Dashboard!$B$5=Dashboard!$B$6,12,((1-Dashboard!$B$5+Dashboard!$B$6)^12-1)/(Dashboard!$B$6-Dashboard!$B$5)),IF(Dashboard!$B$14="LTV per Customer ($)",IF($B23&gt;0,Dashboard!$B$4*IF(Dashboard!$B$5=Dashboard!$B$6,12,((1-Dashboard!$B$5+Dashboard!$B$6)^12-1)/(Dashboard!$B$6-Dashboard!$B$5)),0),"")))))</f>
        <v>0.45010354567674232</v>
      </c>
      <c r="O23" s="17">
        <f>IF(Dashboard!$B$14="Retention %",(1-Dashboard!$B$5)^12,IF(Dashboard!$B$14="MRR ($)",$B23*Dashboard!$B$4*(1-Dashboard!$B$5+Dashboard!$B$6)^12,IF(Dashboard!$B$14="Churned Customers",$B23*(1-(1-Dashboard!$B$5)^12),IF(Dashboard!$B$14="Cumulative Revenue ($)",$B23*Dashboard!$B$4*IF(Dashboard!$B$5=Dashboard!$B$6,13,((1-Dashboard!$B$5+Dashboard!$B$6)^13-1)/(Dashboard!$B$6-Dashboard!$B$5)),IF(Dashboard!$B$14="LTV per Customer ($)",IF($B23&gt;0,Dashboard!$B$4*IF(Dashboard!$B$5=Dashboard!$B$6,13,((1-Dashboard!$B$5+Dashboard!$B$6)^13-1)/(Dashboard!$B$6-Dashboard!$B$5)),0),"")))))</f>
        <v>0.41859629747937033</v>
      </c>
      <c r="P23" s="17">
        <f>IF(Dashboard!$B$14="Retention %",(1-Dashboard!$B$5)^13,IF(Dashboard!$B$14="MRR ($)",$B23*Dashboard!$B$4*(1-Dashboard!$B$5+Dashboard!$B$6)^13,IF(Dashboard!$B$14="Churned Customers",$B23*(1-(1-Dashboard!$B$5)^13),IF(Dashboard!$B$14="Cumulative Revenue ($)",$B23*Dashboard!$B$4*IF(Dashboard!$B$5=Dashboard!$B$6,14,((1-Dashboard!$B$5+Dashboard!$B$6)^14-1)/(Dashboard!$B$6-Dashboard!$B$5)),IF(Dashboard!$B$14="LTV per Customer ($)",IF($B23&gt;0,Dashboard!$B$4*IF(Dashboard!$B$5=Dashboard!$B$6,14,((1-Dashboard!$B$5+Dashboard!$B$6)^14-1)/(Dashboard!$B$6-Dashboard!$B$5)),0),"")))))</f>
        <v>0.38929455665581436</v>
      </c>
      <c r="Q23" s="17">
        <f>IF(Dashboard!$B$14="Retention %",(1-Dashboard!$B$5)^14,IF(Dashboard!$B$14="MRR ($)",$B23*Dashboard!$B$4*(1-Dashboard!$B$5+Dashboard!$B$6)^14,IF(Dashboard!$B$14="Churned Customers",$B23*(1-(1-Dashboard!$B$5)^14),IF(Dashboard!$B$14="Cumulative Revenue ($)",$B23*Dashboard!$B$4*IF(Dashboard!$B$5=Dashboard!$B$6,15,((1-Dashboard!$B$5+Dashboard!$B$6)^15-1)/(Dashboard!$B$6-Dashboard!$B$5)),IF(Dashboard!$B$14="LTV per Customer ($)",IF($B23&gt;0,Dashboard!$B$4*IF(Dashboard!$B$5=Dashboard!$B$6,15,((1-Dashboard!$B$5+Dashboard!$B$6)^15-1)/(Dashboard!$B$6-Dashboard!$B$5)),0),"")))))</f>
        <v>0.36204393768990734</v>
      </c>
      <c r="R23" s="17">
        <f>IF(Dashboard!$B$14="Retention %",(1-Dashboard!$B$5)^15,IF(Dashboard!$B$14="MRR ($)",$B23*Dashboard!$B$4*(1-Dashboard!$B$5+Dashboard!$B$6)^15,IF(Dashboard!$B$14="Churned Customers",$B23*(1-(1-Dashboard!$B$5)^15),IF(Dashboard!$B$14="Cumulative Revenue ($)",$B23*Dashboard!$B$4*IF(Dashboard!$B$5=Dashboard!$B$6,16,((1-Dashboard!$B$5+Dashboard!$B$6)^16-1)/(Dashboard!$B$6-Dashboard!$B$5)),IF(Dashboard!$B$14="LTV per Customer ($)",IF($B23&gt;0,Dashboard!$B$4*IF(Dashboard!$B$5=Dashboard!$B$6,16,((1-Dashboard!$B$5+Dashboard!$B$6)^16-1)/(Dashboard!$B$6-Dashboard!$B$5)),0),"")))))</f>
        <v>0.33670086205161381</v>
      </c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22"/>
    </row>
    <row r="24" spans="1:38" x14ac:dyDescent="0.35">
      <c r="A24" s="40" t="s">
        <v>106</v>
      </c>
      <c r="B24" s="44">
        <v>2</v>
      </c>
      <c r="C24" s="46">
        <f>IF(Dashboard!$B$14="Retention %",1,IF(Dashboard!$B$14="MRR ($)",$B24*Dashboard!$B$4,IF(Dashboard!$B$14="Churned Customers",0,IF(Dashboard!$B$14="Cumulative Revenue ($)",$B24*Dashboard!$B$4,IF(Dashboard!$B$14="LTV per Customer ($)",IF($B24&gt;0,Dashboard!$B$4,0),"")))))</f>
        <v>1</v>
      </c>
      <c r="D24" s="36">
        <f>IF(Dashboard!$B$14="Retention %",(1-Dashboard!$B$5)^1,IF(Dashboard!$B$14="MRR ($)",$B24*Dashboard!$B$4*(1-Dashboard!$B$5+Dashboard!$B$6)^1,IF(Dashboard!$B$14="Churned Customers",$B24*(1-(1-Dashboard!$B$5)^1),IF(Dashboard!$B$14="Cumulative Revenue ($)",$B24*Dashboard!$B$4*IF(Dashboard!$B$5=Dashboard!$B$6,2,((1-Dashboard!$B$5+Dashboard!$B$6)^2-1)/(Dashboard!$B$6-Dashboard!$B$5)),IF(Dashboard!$B$14="LTV per Customer ($)",IF($B24&gt;0,Dashboard!$B$4*IF(Dashboard!$B$5=Dashboard!$B$6,2,((1-Dashboard!$B$5+Dashboard!$B$6)^2-1)/(Dashboard!$B$6-Dashboard!$B$5)),0),"")))))</f>
        <v>0.92999999999999994</v>
      </c>
      <c r="E24" s="36">
        <f>IF(Dashboard!$B$14="Retention %",(1-Dashboard!$B$5)^2,IF(Dashboard!$B$14="MRR ($)",$B24*Dashboard!$B$4*(1-Dashboard!$B$5+Dashboard!$B$6)^2,IF(Dashboard!$B$14="Churned Customers",$B24*(1-(1-Dashboard!$B$5)^2),IF(Dashboard!$B$14="Cumulative Revenue ($)",$B24*Dashboard!$B$4*IF(Dashboard!$B$5=Dashboard!$B$6,3,((1-Dashboard!$B$5+Dashboard!$B$6)^3-1)/(Dashboard!$B$6-Dashboard!$B$5)),IF(Dashboard!$B$14="LTV per Customer ($)",IF($B24&gt;0,Dashboard!$B$4*IF(Dashboard!$B$5=Dashboard!$B$6,3,((1-Dashboard!$B$5+Dashboard!$B$6)^3-1)/(Dashboard!$B$6-Dashboard!$B$5)),0),"")))))</f>
        <v>0.86489999999999989</v>
      </c>
      <c r="F24" s="36">
        <f>IF(Dashboard!$B$14="Retention %",(1-Dashboard!$B$5)^3,IF(Dashboard!$B$14="MRR ($)",$B24*Dashboard!$B$4*(1-Dashboard!$B$5+Dashboard!$B$6)^3,IF(Dashboard!$B$14="Churned Customers",$B24*(1-(1-Dashboard!$B$5)^3),IF(Dashboard!$B$14="Cumulative Revenue ($)",$B24*Dashboard!$B$4*IF(Dashboard!$B$5=Dashboard!$B$6,4,((1-Dashboard!$B$5+Dashboard!$B$6)^4-1)/(Dashboard!$B$6-Dashboard!$B$5)),IF(Dashboard!$B$14="LTV per Customer ($)",IF($B24&gt;0,Dashboard!$B$4*IF(Dashboard!$B$5=Dashboard!$B$6,4,((1-Dashboard!$B$5+Dashboard!$B$6)^4-1)/(Dashboard!$B$6-Dashboard!$B$5)),0),"")))))</f>
        <v>0.80435699999999988</v>
      </c>
      <c r="G24" s="36">
        <f>IF(Dashboard!$B$14="Retention %",(1-Dashboard!$B$5)^4,IF(Dashboard!$B$14="MRR ($)",$B24*Dashboard!$B$4*(1-Dashboard!$B$5+Dashboard!$B$6)^4,IF(Dashboard!$B$14="Churned Customers",$B24*(1-(1-Dashboard!$B$5)^4),IF(Dashboard!$B$14="Cumulative Revenue ($)",$B24*Dashboard!$B$4*IF(Dashboard!$B$5=Dashboard!$B$6,5,((1-Dashboard!$B$5+Dashboard!$B$6)^5-1)/(Dashboard!$B$6-Dashboard!$B$5)),IF(Dashboard!$B$14="LTV per Customer ($)",IF($B24&gt;0,Dashboard!$B$4*IF(Dashboard!$B$5=Dashboard!$B$6,5,((1-Dashboard!$B$5+Dashboard!$B$6)^5-1)/(Dashboard!$B$6-Dashboard!$B$5)),0),"")))))</f>
        <v>0.74805200999999977</v>
      </c>
      <c r="H24" s="36">
        <f>IF(Dashboard!$B$14="Retention %",(1-Dashboard!$B$5)^5,IF(Dashboard!$B$14="MRR ($)",$B24*Dashboard!$B$4*(1-Dashboard!$B$5+Dashboard!$B$6)^5,IF(Dashboard!$B$14="Churned Customers",$B24*(1-(1-Dashboard!$B$5)^5),IF(Dashboard!$B$14="Cumulative Revenue ($)",$B24*Dashboard!$B$4*IF(Dashboard!$B$5=Dashboard!$B$6,6,((1-Dashboard!$B$5+Dashboard!$B$6)^6-1)/(Dashboard!$B$6-Dashboard!$B$5)),IF(Dashboard!$B$14="LTV per Customer ($)",IF($B24&gt;0,Dashboard!$B$4*IF(Dashboard!$B$5=Dashboard!$B$6,6,((1-Dashboard!$B$5+Dashboard!$B$6)^6-1)/(Dashboard!$B$6-Dashboard!$B$5)),0),"")))))</f>
        <v>0.69568836929999978</v>
      </c>
      <c r="I24" s="36">
        <f>IF(Dashboard!$B$14="Retention %",(1-Dashboard!$B$5)^6,IF(Dashboard!$B$14="MRR ($)",$B24*Dashboard!$B$4*(1-Dashboard!$B$5+Dashboard!$B$6)^6,IF(Dashboard!$B$14="Churned Customers",$B24*(1-(1-Dashboard!$B$5)^6),IF(Dashboard!$B$14="Cumulative Revenue ($)",$B24*Dashboard!$B$4*IF(Dashboard!$B$5=Dashboard!$B$6,7,((1-Dashboard!$B$5+Dashboard!$B$6)^7-1)/(Dashboard!$B$6-Dashboard!$B$5)),IF(Dashboard!$B$14="LTV per Customer ($)",IF($B24&gt;0,Dashboard!$B$4*IF(Dashboard!$B$5=Dashboard!$B$6,7,((1-Dashboard!$B$5+Dashboard!$B$6)^7-1)/(Dashboard!$B$6-Dashboard!$B$5)),0),"")))))</f>
        <v>0.64699018344899972</v>
      </c>
      <c r="J24" s="36">
        <f>IF(Dashboard!$B$14="Retention %",(1-Dashboard!$B$5)^7,IF(Dashboard!$B$14="MRR ($)",$B24*Dashboard!$B$4*(1-Dashboard!$B$5+Dashboard!$B$6)^7,IF(Dashboard!$B$14="Churned Customers",$B24*(1-(1-Dashboard!$B$5)^7),IF(Dashboard!$B$14="Cumulative Revenue ($)",$B24*Dashboard!$B$4*IF(Dashboard!$B$5=Dashboard!$B$6,8,((1-Dashboard!$B$5+Dashboard!$B$6)^8-1)/(Dashboard!$B$6-Dashboard!$B$5)),IF(Dashboard!$B$14="LTV per Customer ($)",IF($B24&gt;0,Dashboard!$B$4*IF(Dashboard!$B$5=Dashboard!$B$6,8,((1-Dashboard!$B$5+Dashboard!$B$6)^8-1)/(Dashboard!$B$6-Dashboard!$B$5)),0),"")))))</f>
        <v>0.60170087060756972</v>
      </c>
      <c r="K24" s="36">
        <f>IF(Dashboard!$B$14="Retention %",(1-Dashboard!$B$5)^8,IF(Dashboard!$B$14="MRR ($)",$B24*Dashboard!$B$4*(1-Dashboard!$B$5+Dashboard!$B$6)^8,IF(Dashboard!$B$14="Churned Customers",$B24*(1-(1-Dashboard!$B$5)^8),IF(Dashboard!$B$14="Cumulative Revenue ($)",$B24*Dashboard!$B$4*IF(Dashboard!$B$5=Dashboard!$B$6,9,((1-Dashboard!$B$5+Dashboard!$B$6)^9-1)/(Dashboard!$B$6-Dashboard!$B$5)),IF(Dashboard!$B$14="LTV per Customer ($)",IF($B24&gt;0,Dashboard!$B$4*IF(Dashboard!$B$5=Dashboard!$B$6,9,((1-Dashboard!$B$5+Dashboard!$B$6)^9-1)/(Dashboard!$B$6-Dashboard!$B$5)),0),"")))))</f>
        <v>0.55958180966503979</v>
      </c>
      <c r="L24" s="36">
        <f>IF(Dashboard!$B$14="Retention %",(1-Dashboard!$B$5)^9,IF(Dashboard!$B$14="MRR ($)",$B24*Dashboard!$B$4*(1-Dashboard!$B$5+Dashboard!$B$6)^9,IF(Dashboard!$B$14="Churned Customers",$B24*(1-(1-Dashboard!$B$5)^9),IF(Dashboard!$B$14="Cumulative Revenue ($)",$B24*Dashboard!$B$4*IF(Dashboard!$B$5=Dashboard!$B$6,10,((1-Dashboard!$B$5+Dashboard!$B$6)^10-1)/(Dashboard!$B$6-Dashboard!$B$5)),IF(Dashboard!$B$14="LTV per Customer ($)",IF($B24&gt;0,Dashboard!$B$4*IF(Dashboard!$B$5=Dashboard!$B$6,10,((1-Dashboard!$B$5+Dashboard!$B$6)^10-1)/(Dashboard!$B$6-Dashboard!$B$5)),0),"")))))</f>
        <v>0.52041108298848693</v>
      </c>
      <c r="M24" s="16">
        <f>IF(Dashboard!$B$14="Retention %",(1-Dashboard!$B$5)^10,IF(Dashboard!$B$14="MRR ($)",$B24*Dashboard!$B$4*(1-Dashboard!$B$5+Dashboard!$B$6)^10,IF(Dashboard!$B$14="Churned Customers",$B24*(1-(1-Dashboard!$B$5)^10),IF(Dashboard!$B$14="Cumulative Revenue ($)",$B24*Dashboard!$B$4*IF(Dashboard!$B$5=Dashboard!$B$6,11,((1-Dashboard!$B$5+Dashboard!$B$6)^11-1)/(Dashboard!$B$6-Dashboard!$B$5)),IF(Dashboard!$B$14="LTV per Customer ($)",IF($B24&gt;0,Dashboard!$B$4*IF(Dashboard!$B$5=Dashboard!$B$6,11,((1-Dashboard!$B$5+Dashboard!$B$6)^11-1)/(Dashboard!$B$6-Dashboard!$B$5)),0),"")))))</f>
        <v>0.48398230717929286</v>
      </c>
      <c r="N24" s="16">
        <f>IF(Dashboard!$B$14="Retention %",(1-Dashboard!$B$5)^11,IF(Dashboard!$B$14="MRR ($)",$B24*Dashboard!$B$4*(1-Dashboard!$B$5+Dashboard!$B$6)^11,IF(Dashboard!$B$14="Churned Customers",$B24*(1-(1-Dashboard!$B$5)^11),IF(Dashboard!$B$14="Cumulative Revenue ($)",$B24*Dashboard!$B$4*IF(Dashboard!$B$5=Dashboard!$B$6,12,((1-Dashboard!$B$5+Dashboard!$B$6)^12-1)/(Dashboard!$B$6-Dashboard!$B$5)),IF(Dashboard!$B$14="LTV per Customer ($)",IF($B24&gt;0,Dashboard!$B$4*IF(Dashboard!$B$5=Dashboard!$B$6,12,((1-Dashboard!$B$5+Dashboard!$B$6)^12-1)/(Dashboard!$B$6-Dashboard!$B$5)),0),"")))))</f>
        <v>0.45010354567674232</v>
      </c>
      <c r="O24" s="16">
        <f>IF(Dashboard!$B$14="Retention %",(1-Dashboard!$B$5)^12,IF(Dashboard!$B$14="MRR ($)",$B24*Dashboard!$B$4*(1-Dashboard!$B$5+Dashboard!$B$6)^12,IF(Dashboard!$B$14="Churned Customers",$B24*(1-(1-Dashboard!$B$5)^12),IF(Dashboard!$B$14="Cumulative Revenue ($)",$B24*Dashboard!$B$4*IF(Dashboard!$B$5=Dashboard!$B$6,13,((1-Dashboard!$B$5+Dashboard!$B$6)^13-1)/(Dashboard!$B$6-Dashboard!$B$5)),IF(Dashboard!$B$14="LTV per Customer ($)",IF($B24&gt;0,Dashboard!$B$4*IF(Dashboard!$B$5=Dashboard!$B$6,13,((1-Dashboard!$B$5+Dashboard!$B$6)^13-1)/(Dashboard!$B$6-Dashboard!$B$5)),0),"")))))</f>
        <v>0.41859629747937033</v>
      </c>
      <c r="P24" s="16">
        <f>IF(Dashboard!$B$14="Retention %",(1-Dashboard!$B$5)^13,IF(Dashboard!$B$14="MRR ($)",$B24*Dashboard!$B$4*(1-Dashboard!$B$5+Dashboard!$B$6)^13,IF(Dashboard!$B$14="Churned Customers",$B24*(1-(1-Dashboard!$B$5)^13),IF(Dashboard!$B$14="Cumulative Revenue ($)",$B24*Dashboard!$B$4*IF(Dashboard!$B$5=Dashboard!$B$6,14,((1-Dashboard!$B$5+Dashboard!$B$6)^14-1)/(Dashboard!$B$6-Dashboard!$B$5)),IF(Dashboard!$B$14="LTV per Customer ($)",IF($B24&gt;0,Dashboard!$B$4*IF(Dashboard!$B$5=Dashboard!$B$6,14,((1-Dashboard!$B$5+Dashboard!$B$6)^14-1)/(Dashboard!$B$6-Dashboard!$B$5)),0),"")))))</f>
        <v>0.38929455665581436</v>
      </c>
      <c r="Q24" s="16">
        <f>IF(Dashboard!$B$14="Retention %",(1-Dashboard!$B$5)^14,IF(Dashboard!$B$14="MRR ($)",$B24*Dashboard!$B$4*(1-Dashboard!$B$5+Dashboard!$B$6)^14,IF(Dashboard!$B$14="Churned Customers",$B24*(1-(1-Dashboard!$B$5)^14),IF(Dashboard!$B$14="Cumulative Revenue ($)",$B24*Dashboard!$B$4*IF(Dashboard!$B$5=Dashboard!$B$6,15,((1-Dashboard!$B$5+Dashboard!$B$6)^15-1)/(Dashboard!$B$6-Dashboard!$B$5)),IF(Dashboard!$B$14="LTV per Customer ($)",IF($B24&gt;0,Dashboard!$B$4*IF(Dashboard!$B$5=Dashboard!$B$6,15,((1-Dashboard!$B$5+Dashboard!$B$6)^15-1)/(Dashboard!$B$6-Dashboard!$B$5)),0),"")))))</f>
        <v>0.36204393768990734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21"/>
    </row>
    <row r="25" spans="1:38" x14ac:dyDescent="0.35">
      <c r="A25" s="40" t="s">
        <v>107</v>
      </c>
      <c r="B25" s="44">
        <v>2</v>
      </c>
      <c r="C25" s="46">
        <f>IF(Dashboard!$B$14="Retention %",1,IF(Dashboard!$B$14="MRR ($)",$B25*Dashboard!$B$4,IF(Dashboard!$B$14="Churned Customers",0,IF(Dashboard!$B$14="Cumulative Revenue ($)",$B25*Dashboard!$B$4,IF(Dashboard!$B$14="LTV per Customer ($)",IF($B25&gt;0,Dashboard!$B$4,0),"")))))</f>
        <v>1</v>
      </c>
      <c r="D25" s="37">
        <f>IF(Dashboard!$B$14="Retention %",(1-Dashboard!$B$5)^1,IF(Dashboard!$B$14="MRR ($)",$B25*Dashboard!$B$4*(1-Dashboard!$B$5+Dashboard!$B$6)^1,IF(Dashboard!$B$14="Churned Customers",$B25*(1-(1-Dashboard!$B$5)^1),IF(Dashboard!$B$14="Cumulative Revenue ($)",$B25*Dashboard!$B$4*IF(Dashboard!$B$5=Dashboard!$B$6,2,((1-Dashboard!$B$5+Dashboard!$B$6)^2-1)/(Dashboard!$B$6-Dashboard!$B$5)),IF(Dashboard!$B$14="LTV per Customer ($)",IF($B25&gt;0,Dashboard!$B$4*IF(Dashboard!$B$5=Dashboard!$B$6,2,((1-Dashboard!$B$5+Dashboard!$B$6)^2-1)/(Dashboard!$B$6-Dashboard!$B$5)),0),"")))))</f>
        <v>0.92999999999999994</v>
      </c>
      <c r="E25" s="37">
        <f>IF(Dashboard!$B$14="Retention %",(1-Dashboard!$B$5)^2,IF(Dashboard!$B$14="MRR ($)",$B25*Dashboard!$B$4*(1-Dashboard!$B$5+Dashboard!$B$6)^2,IF(Dashboard!$B$14="Churned Customers",$B25*(1-(1-Dashboard!$B$5)^2),IF(Dashboard!$B$14="Cumulative Revenue ($)",$B25*Dashboard!$B$4*IF(Dashboard!$B$5=Dashboard!$B$6,3,((1-Dashboard!$B$5+Dashboard!$B$6)^3-1)/(Dashboard!$B$6-Dashboard!$B$5)),IF(Dashboard!$B$14="LTV per Customer ($)",IF($B25&gt;0,Dashboard!$B$4*IF(Dashboard!$B$5=Dashboard!$B$6,3,((1-Dashboard!$B$5+Dashboard!$B$6)^3-1)/(Dashboard!$B$6-Dashboard!$B$5)),0),"")))))</f>
        <v>0.86489999999999989</v>
      </c>
      <c r="F25" s="37">
        <f>IF(Dashboard!$B$14="Retention %",(1-Dashboard!$B$5)^3,IF(Dashboard!$B$14="MRR ($)",$B25*Dashboard!$B$4*(1-Dashboard!$B$5+Dashboard!$B$6)^3,IF(Dashboard!$B$14="Churned Customers",$B25*(1-(1-Dashboard!$B$5)^3),IF(Dashboard!$B$14="Cumulative Revenue ($)",$B25*Dashboard!$B$4*IF(Dashboard!$B$5=Dashboard!$B$6,4,((1-Dashboard!$B$5+Dashboard!$B$6)^4-1)/(Dashboard!$B$6-Dashboard!$B$5)),IF(Dashboard!$B$14="LTV per Customer ($)",IF($B25&gt;0,Dashboard!$B$4*IF(Dashboard!$B$5=Dashboard!$B$6,4,((1-Dashboard!$B$5+Dashboard!$B$6)^4-1)/(Dashboard!$B$6-Dashboard!$B$5)),0),"")))))</f>
        <v>0.80435699999999988</v>
      </c>
      <c r="G25" s="37">
        <f>IF(Dashboard!$B$14="Retention %",(1-Dashboard!$B$5)^4,IF(Dashboard!$B$14="MRR ($)",$B25*Dashboard!$B$4*(1-Dashboard!$B$5+Dashboard!$B$6)^4,IF(Dashboard!$B$14="Churned Customers",$B25*(1-(1-Dashboard!$B$5)^4),IF(Dashboard!$B$14="Cumulative Revenue ($)",$B25*Dashboard!$B$4*IF(Dashboard!$B$5=Dashboard!$B$6,5,((1-Dashboard!$B$5+Dashboard!$B$6)^5-1)/(Dashboard!$B$6-Dashboard!$B$5)),IF(Dashboard!$B$14="LTV per Customer ($)",IF($B25&gt;0,Dashboard!$B$4*IF(Dashboard!$B$5=Dashboard!$B$6,5,((1-Dashboard!$B$5+Dashboard!$B$6)^5-1)/(Dashboard!$B$6-Dashboard!$B$5)),0),"")))))</f>
        <v>0.74805200999999977</v>
      </c>
      <c r="H25" s="37">
        <f>IF(Dashboard!$B$14="Retention %",(1-Dashboard!$B$5)^5,IF(Dashboard!$B$14="MRR ($)",$B25*Dashboard!$B$4*(1-Dashboard!$B$5+Dashboard!$B$6)^5,IF(Dashboard!$B$14="Churned Customers",$B25*(1-(1-Dashboard!$B$5)^5),IF(Dashboard!$B$14="Cumulative Revenue ($)",$B25*Dashboard!$B$4*IF(Dashboard!$B$5=Dashboard!$B$6,6,((1-Dashboard!$B$5+Dashboard!$B$6)^6-1)/(Dashboard!$B$6-Dashboard!$B$5)),IF(Dashboard!$B$14="LTV per Customer ($)",IF($B25&gt;0,Dashboard!$B$4*IF(Dashboard!$B$5=Dashboard!$B$6,6,((1-Dashboard!$B$5+Dashboard!$B$6)^6-1)/(Dashboard!$B$6-Dashboard!$B$5)),0),"")))))</f>
        <v>0.69568836929999978</v>
      </c>
      <c r="I25" s="37">
        <f>IF(Dashboard!$B$14="Retention %",(1-Dashboard!$B$5)^6,IF(Dashboard!$B$14="MRR ($)",$B25*Dashboard!$B$4*(1-Dashboard!$B$5+Dashboard!$B$6)^6,IF(Dashboard!$B$14="Churned Customers",$B25*(1-(1-Dashboard!$B$5)^6),IF(Dashboard!$B$14="Cumulative Revenue ($)",$B25*Dashboard!$B$4*IF(Dashboard!$B$5=Dashboard!$B$6,7,((1-Dashboard!$B$5+Dashboard!$B$6)^7-1)/(Dashboard!$B$6-Dashboard!$B$5)),IF(Dashboard!$B$14="LTV per Customer ($)",IF($B25&gt;0,Dashboard!$B$4*IF(Dashboard!$B$5=Dashboard!$B$6,7,((1-Dashboard!$B$5+Dashboard!$B$6)^7-1)/(Dashboard!$B$6-Dashboard!$B$5)),0),"")))))</f>
        <v>0.64699018344899972</v>
      </c>
      <c r="J25" s="37">
        <f>IF(Dashboard!$B$14="Retention %",(1-Dashboard!$B$5)^7,IF(Dashboard!$B$14="MRR ($)",$B25*Dashboard!$B$4*(1-Dashboard!$B$5+Dashboard!$B$6)^7,IF(Dashboard!$B$14="Churned Customers",$B25*(1-(1-Dashboard!$B$5)^7),IF(Dashboard!$B$14="Cumulative Revenue ($)",$B25*Dashboard!$B$4*IF(Dashboard!$B$5=Dashboard!$B$6,8,((1-Dashboard!$B$5+Dashboard!$B$6)^8-1)/(Dashboard!$B$6-Dashboard!$B$5)),IF(Dashboard!$B$14="LTV per Customer ($)",IF($B25&gt;0,Dashboard!$B$4*IF(Dashboard!$B$5=Dashboard!$B$6,8,((1-Dashboard!$B$5+Dashboard!$B$6)^8-1)/(Dashboard!$B$6-Dashboard!$B$5)),0),"")))))</f>
        <v>0.60170087060756972</v>
      </c>
      <c r="K25" s="37">
        <f>IF(Dashboard!$B$14="Retention %",(1-Dashboard!$B$5)^8,IF(Dashboard!$B$14="MRR ($)",$B25*Dashboard!$B$4*(1-Dashboard!$B$5+Dashboard!$B$6)^8,IF(Dashboard!$B$14="Churned Customers",$B25*(1-(1-Dashboard!$B$5)^8),IF(Dashboard!$B$14="Cumulative Revenue ($)",$B25*Dashboard!$B$4*IF(Dashboard!$B$5=Dashboard!$B$6,9,((1-Dashboard!$B$5+Dashboard!$B$6)^9-1)/(Dashboard!$B$6-Dashboard!$B$5)),IF(Dashboard!$B$14="LTV per Customer ($)",IF($B25&gt;0,Dashboard!$B$4*IF(Dashboard!$B$5=Dashboard!$B$6,9,((1-Dashboard!$B$5+Dashboard!$B$6)^9-1)/(Dashboard!$B$6-Dashboard!$B$5)),0),"")))))</f>
        <v>0.55958180966503979</v>
      </c>
      <c r="L25" s="37">
        <f>IF(Dashboard!$B$14="Retention %",(1-Dashboard!$B$5)^9,IF(Dashboard!$B$14="MRR ($)",$B25*Dashboard!$B$4*(1-Dashboard!$B$5+Dashboard!$B$6)^9,IF(Dashboard!$B$14="Churned Customers",$B25*(1-(1-Dashboard!$B$5)^9),IF(Dashboard!$B$14="Cumulative Revenue ($)",$B25*Dashboard!$B$4*IF(Dashboard!$B$5=Dashboard!$B$6,10,((1-Dashboard!$B$5+Dashboard!$B$6)^10-1)/(Dashboard!$B$6-Dashboard!$B$5)),IF(Dashboard!$B$14="LTV per Customer ($)",IF($B25&gt;0,Dashboard!$B$4*IF(Dashboard!$B$5=Dashboard!$B$6,10,((1-Dashboard!$B$5+Dashboard!$B$6)^10-1)/(Dashboard!$B$6-Dashboard!$B$5)),0),"")))))</f>
        <v>0.52041108298848693</v>
      </c>
      <c r="M25" s="17">
        <f>IF(Dashboard!$B$14="Retention %",(1-Dashboard!$B$5)^10,IF(Dashboard!$B$14="MRR ($)",$B25*Dashboard!$B$4*(1-Dashboard!$B$5+Dashboard!$B$6)^10,IF(Dashboard!$B$14="Churned Customers",$B25*(1-(1-Dashboard!$B$5)^10),IF(Dashboard!$B$14="Cumulative Revenue ($)",$B25*Dashboard!$B$4*IF(Dashboard!$B$5=Dashboard!$B$6,11,((1-Dashboard!$B$5+Dashboard!$B$6)^11-1)/(Dashboard!$B$6-Dashboard!$B$5)),IF(Dashboard!$B$14="LTV per Customer ($)",IF($B25&gt;0,Dashboard!$B$4*IF(Dashboard!$B$5=Dashboard!$B$6,11,((1-Dashboard!$B$5+Dashboard!$B$6)^11-1)/(Dashboard!$B$6-Dashboard!$B$5)),0),"")))))</f>
        <v>0.48398230717929286</v>
      </c>
      <c r="N25" s="17">
        <f>IF(Dashboard!$B$14="Retention %",(1-Dashboard!$B$5)^11,IF(Dashboard!$B$14="MRR ($)",$B25*Dashboard!$B$4*(1-Dashboard!$B$5+Dashboard!$B$6)^11,IF(Dashboard!$B$14="Churned Customers",$B25*(1-(1-Dashboard!$B$5)^11),IF(Dashboard!$B$14="Cumulative Revenue ($)",$B25*Dashboard!$B$4*IF(Dashboard!$B$5=Dashboard!$B$6,12,((1-Dashboard!$B$5+Dashboard!$B$6)^12-1)/(Dashboard!$B$6-Dashboard!$B$5)),IF(Dashboard!$B$14="LTV per Customer ($)",IF($B25&gt;0,Dashboard!$B$4*IF(Dashboard!$B$5=Dashboard!$B$6,12,((1-Dashboard!$B$5+Dashboard!$B$6)^12-1)/(Dashboard!$B$6-Dashboard!$B$5)),0),"")))))</f>
        <v>0.45010354567674232</v>
      </c>
      <c r="O25" s="17">
        <f>IF(Dashboard!$B$14="Retention %",(1-Dashboard!$B$5)^12,IF(Dashboard!$B$14="MRR ($)",$B25*Dashboard!$B$4*(1-Dashboard!$B$5+Dashboard!$B$6)^12,IF(Dashboard!$B$14="Churned Customers",$B25*(1-(1-Dashboard!$B$5)^12),IF(Dashboard!$B$14="Cumulative Revenue ($)",$B25*Dashboard!$B$4*IF(Dashboard!$B$5=Dashboard!$B$6,13,((1-Dashboard!$B$5+Dashboard!$B$6)^13-1)/(Dashboard!$B$6-Dashboard!$B$5)),IF(Dashboard!$B$14="LTV per Customer ($)",IF($B25&gt;0,Dashboard!$B$4*IF(Dashboard!$B$5=Dashboard!$B$6,13,((1-Dashboard!$B$5+Dashboard!$B$6)^13-1)/(Dashboard!$B$6-Dashboard!$B$5)),0),"")))))</f>
        <v>0.41859629747937033</v>
      </c>
      <c r="P25" s="17">
        <f>IF(Dashboard!$B$14="Retention %",(1-Dashboard!$B$5)^13,IF(Dashboard!$B$14="MRR ($)",$B25*Dashboard!$B$4*(1-Dashboard!$B$5+Dashboard!$B$6)^13,IF(Dashboard!$B$14="Churned Customers",$B25*(1-(1-Dashboard!$B$5)^13),IF(Dashboard!$B$14="Cumulative Revenue ($)",$B25*Dashboard!$B$4*IF(Dashboard!$B$5=Dashboard!$B$6,14,((1-Dashboard!$B$5+Dashboard!$B$6)^14-1)/(Dashboard!$B$6-Dashboard!$B$5)),IF(Dashboard!$B$14="LTV per Customer ($)",IF($B25&gt;0,Dashboard!$B$4*IF(Dashboard!$B$5=Dashboard!$B$6,14,((1-Dashboard!$B$5+Dashboard!$B$6)^14-1)/(Dashboard!$B$6-Dashboard!$B$5)),0),"")))))</f>
        <v>0.38929455665581436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22"/>
    </row>
    <row r="26" spans="1:38" x14ac:dyDescent="0.35">
      <c r="A26" s="40" t="s">
        <v>108</v>
      </c>
      <c r="B26" s="44">
        <v>2</v>
      </c>
      <c r="C26" s="46">
        <f>IF(Dashboard!$B$14="Retention %",1,IF(Dashboard!$B$14="MRR ($)",$B26*Dashboard!$B$4,IF(Dashboard!$B$14="Churned Customers",0,IF(Dashboard!$B$14="Cumulative Revenue ($)",$B26*Dashboard!$B$4,IF(Dashboard!$B$14="LTV per Customer ($)",IF($B26&gt;0,Dashboard!$B$4,0),"")))))</f>
        <v>1</v>
      </c>
      <c r="D26" s="36">
        <f>IF(Dashboard!$B$14="Retention %",(1-Dashboard!$B$5)^1,IF(Dashboard!$B$14="MRR ($)",$B26*Dashboard!$B$4*(1-Dashboard!$B$5+Dashboard!$B$6)^1,IF(Dashboard!$B$14="Churned Customers",$B26*(1-(1-Dashboard!$B$5)^1),IF(Dashboard!$B$14="Cumulative Revenue ($)",$B26*Dashboard!$B$4*IF(Dashboard!$B$5=Dashboard!$B$6,2,((1-Dashboard!$B$5+Dashboard!$B$6)^2-1)/(Dashboard!$B$6-Dashboard!$B$5)),IF(Dashboard!$B$14="LTV per Customer ($)",IF($B26&gt;0,Dashboard!$B$4*IF(Dashboard!$B$5=Dashboard!$B$6,2,((1-Dashboard!$B$5+Dashboard!$B$6)^2-1)/(Dashboard!$B$6-Dashboard!$B$5)),0),"")))))</f>
        <v>0.92999999999999994</v>
      </c>
      <c r="E26" s="36">
        <f>IF(Dashboard!$B$14="Retention %",(1-Dashboard!$B$5)^2,IF(Dashboard!$B$14="MRR ($)",$B26*Dashboard!$B$4*(1-Dashboard!$B$5+Dashboard!$B$6)^2,IF(Dashboard!$B$14="Churned Customers",$B26*(1-(1-Dashboard!$B$5)^2),IF(Dashboard!$B$14="Cumulative Revenue ($)",$B26*Dashboard!$B$4*IF(Dashboard!$B$5=Dashboard!$B$6,3,((1-Dashboard!$B$5+Dashboard!$B$6)^3-1)/(Dashboard!$B$6-Dashboard!$B$5)),IF(Dashboard!$B$14="LTV per Customer ($)",IF($B26&gt;0,Dashboard!$B$4*IF(Dashboard!$B$5=Dashboard!$B$6,3,((1-Dashboard!$B$5+Dashboard!$B$6)^3-1)/(Dashboard!$B$6-Dashboard!$B$5)),0),"")))))</f>
        <v>0.86489999999999989</v>
      </c>
      <c r="F26" s="36">
        <f>IF(Dashboard!$B$14="Retention %",(1-Dashboard!$B$5)^3,IF(Dashboard!$B$14="MRR ($)",$B26*Dashboard!$B$4*(1-Dashboard!$B$5+Dashboard!$B$6)^3,IF(Dashboard!$B$14="Churned Customers",$B26*(1-(1-Dashboard!$B$5)^3),IF(Dashboard!$B$14="Cumulative Revenue ($)",$B26*Dashboard!$B$4*IF(Dashboard!$B$5=Dashboard!$B$6,4,((1-Dashboard!$B$5+Dashboard!$B$6)^4-1)/(Dashboard!$B$6-Dashboard!$B$5)),IF(Dashboard!$B$14="LTV per Customer ($)",IF($B26&gt;0,Dashboard!$B$4*IF(Dashboard!$B$5=Dashboard!$B$6,4,((1-Dashboard!$B$5+Dashboard!$B$6)^4-1)/(Dashboard!$B$6-Dashboard!$B$5)),0),"")))))</f>
        <v>0.80435699999999988</v>
      </c>
      <c r="G26" s="36">
        <f>IF(Dashboard!$B$14="Retention %",(1-Dashboard!$B$5)^4,IF(Dashboard!$B$14="MRR ($)",$B26*Dashboard!$B$4*(1-Dashboard!$B$5+Dashboard!$B$6)^4,IF(Dashboard!$B$14="Churned Customers",$B26*(1-(1-Dashboard!$B$5)^4),IF(Dashboard!$B$14="Cumulative Revenue ($)",$B26*Dashboard!$B$4*IF(Dashboard!$B$5=Dashboard!$B$6,5,((1-Dashboard!$B$5+Dashboard!$B$6)^5-1)/(Dashboard!$B$6-Dashboard!$B$5)),IF(Dashboard!$B$14="LTV per Customer ($)",IF($B26&gt;0,Dashboard!$B$4*IF(Dashboard!$B$5=Dashboard!$B$6,5,((1-Dashboard!$B$5+Dashboard!$B$6)^5-1)/(Dashboard!$B$6-Dashboard!$B$5)),0),"")))))</f>
        <v>0.74805200999999977</v>
      </c>
      <c r="H26" s="36">
        <f>IF(Dashboard!$B$14="Retention %",(1-Dashboard!$B$5)^5,IF(Dashboard!$B$14="MRR ($)",$B26*Dashboard!$B$4*(1-Dashboard!$B$5+Dashboard!$B$6)^5,IF(Dashboard!$B$14="Churned Customers",$B26*(1-(1-Dashboard!$B$5)^5),IF(Dashboard!$B$14="Cumulative Revenue ($)",$B26*Dashboard!$B$4*IF(Dashboard!$B$5=Dashboard!$B$6,6,((1-Dashboard!$B$5+Dashboard!$B$6)^6-1)/(Dashboard!$B$6-Dashboard!$B$5)),IF(Dashboard!$B$14="LTV per Customer ($)",IF($B26&gt;0,Dashboard!$B$4*IF(Dashboard!$B$5=Dashboard!$B$6,6,((1-Dashboard!$B$5+Dashboard!$B$6)^6-1)/(Dashboard!$B$6-Dashboard!$B$5)),0),"")))))</f>
        <v>0.69568836929999978</v>
      </c>
      <c r="I26" s="36">
        <f>IF(Dashboard!$B$14="Retention %",(1-Dashboard!$B$5)^6,IF(Dashboard!$B$14="MRR ($)",$B26*Dashboard!$B$4*(1-Dashboard!$B$5+Dashboard!$B$6)^6,IF(Dashboard!$B$14="Churned Customers",$B26*(1-(1-Dashboard!$B$5)^6),IF(Dashboard!$B$14="Cumulative Revenue ($)",$B26*Dashboard!$B$4*IF(Dashboard!$B$5=Dashboard!$B$6,7,((1-Dashboard!$B$5+Dashboard!$B$6)^7-1)/(Dashboard!$B$6-Dashboard!$B$5)),IF(Dashboard!$B$14="LTV per Customer ($)",IF($B26&gt;0,Dashboard!$B$4*IF(Dashboard!$B$5=Dashboard!$B$6,7,((1-Dashboard!$B$5+Dashboard!$B$6)^7-1)/(Dashboard!$B$6-Dashboard!$B$5)),0),"")))))</f>
        <v>0.64699018344899972</v>
      </c>
      <c r="J26" s="36">
        <f>IF(Dashboard!$B$14="Retention %",(1-Dashboard!$B$5)^7,IF(Dashboard!$B$14="MRR ($)",$B26*Dashboard!$B$4*(1-Dashboard!$B$5+Dashboard!$B$6)^7,IF(Dashboard!$B$14="Churned Customers",$B26*(1-(1-Dashboard!$B$5)^7),IF(Dashboard!$B$14="Cumulative Revenue ($)",$B26*Dashboard!$B$4*IF(Dashboard!$B$5=Dashboard!$B$6,8,((1-Dashboard!$B$5+Dashboard!$B$6)^8-1)/(Dashboard!$B$6-Dashboard!$B$5)),IF(Dashboard!$B$14="LTV per Customer ($)",IF($B26&gt;0,Dashboard!$B$4*IF(Dashboard!$B$5=Dashboard!$B$6,8,((1-Dashboard!$B$5+Dashboard!$B$6)^8-1)/(Dashboard!$B$6-Dashboard!$B$5)),0),"")))))</f>
        <v>0.60170087060756972</v>
      </c>
      <c r="K26" s="36">
        <f>IF(Dashboard!$B$14="Retention %",(1-Dashboard!$B$5)^8,IF(Dashboard!$B$14="MRR ($)",$B26*Dashboard!$B$4*(1-Dashboard!$B$5+Dashboard!$B$6)^8,IF(Dashboard!$B$14="Churned Customers",$B26*(1-(1-Dashboard!$B$5)^8),IF(Dashboard!$B$14="Cumulative Revenue ($)",$B26*Dashboard!$B$4*IF(Dashboard!$B$5=Dashboard!$B$6,9,((1-Dashboard!$B$5+Dashboard!$B$6)^9-1)/(Dashboard!$B$6-Dashboard!$B$5)),IF(Dashboard!$B$14="LTV per Customer ($)",IF($B26&gt;0,Dashboard!$B$4*IF(Dashboard!$B$5=Dashboard!$B$6,9,((1-Dashboard!$B$5+Dashboard!$B$6)^9-1)/(Dashboard!$B$6-Dashboard!$B$5)),0),"")))))</f>
        <v>0.55958180966503979</v>
      </c>
      <c r="L26" s="36">
        <f>IF(Dashboard!$B$14="Retention %",(1-Dashboard!$B$5)^9,IF(Dashboard!$B$14="MRR ($)",$B26*Dashboard!$B$4*(1-Dashboard!$B$5+Dashboard!$B$6)^9,IF(Dashboard!$B$14="Churned Customers",$B26*(1-(1-Dashboard!$B$5)^9),IF(Dashboard!$B$14="Cumulative Revenue ($)",$B26*Dashboard!$B$4*IF(Dashboard!$B$5=Dashboard!$B$6,10,((1-Dashboard!$B$5+Dashboard!$B$6)^10-1)/(Dashboard!$B$6-Dashboard!$B$5)),IF(Dashboard!$B$14="LTV per Customer ($)",IF($B26&gt;0,Dashboard!$B$4*IF(Dashboard!$B$5=Dashboard!$B$6,10,((1-Dashboard!$B$5+Dashboard!$B$6)^10-1)/(Dashboard!$B$6-Dashboard!$B$5)),0),"")))))</f>
        <v>0.52041108298848693</v>
      </c>
      <c r="M26" s="16">
        <f>IF(Dashboard!$B$14="Retention %",(1-Dashboard!$B$5)^10,IF(Dashboard!$B$14="MRR ($)",$B26*Dashboard!$B$4*(1-Dashboard!$B$5+Dashboard!$B$6)^10,IF(Dashboard!$B$14="Churned Customers",$B26*(1-(1-Dashboard!$B$5)^10),IF(Dashboard!$B$14="Cumulative Revenue ($)",$B26*Dashboard!$B$4*IF(Dashboard!$B$5=Dashboard!$B$6,11,((1-Dashboard!$B$5+Dashboard!$B$6)^11-1)/(Dashboard!$B$6-Dashboard!$B$5)),IF(Dashboard!$B$14="LTV per Customer ($)",IF($B26&gt;0,Dashboard!$B$4*IF(Dashboard!$B$5=Dashboard!$B$6,11,((1-Dashboard!$B$5+Dashboard!$B$6)^11-1)/(Dashboard!$B$6-Dashboard!$B$5)),0),"")))))</f>
        <v>0.48398230717929286</v>
      </c>
      <c r="N26" s="16">
        <f>IF(Dashboard!$B$14="Retention %",(1-Dashboard!$B$5)^11,IF(Dashboard!$B$14="MRR ($)",$B26*Dashboard!$B$4*(1-Dashboard!$B$5+Dashboard!$B$6)^11,IF(Dashboard!$B$14="Churned Customers",$B26*(1-(1-Dashboard!$B$5)^11),IF(Dashboard!$B$14="Cumulative Revenue ($)",$B26*Dashboard!$B$4*IF(Dashboard!$B$5=Dashboard!$B$6,12,((1-Dashboard!$B$5+Dashboard!$B$6)^12-1)/(Dashboard!$B$6-Dashboard!$B$5)),IF(Dashboard!$B$14="LTV per Customer ($)",IF($B26&gt;0,Dashboard!$B$4*IF(Dashboard!$B$5=Dashboard!$B$6,12,((1-Dashboard!$B$5+Dashboard!$B$6)^12-1)/(Dashboard!$B$6-Dashboard!$B$5)),0),"")))))</f>
        <v>0.45010354567674232</v>
      </c>
      <c r="O26" s="16">
        <f>IF(Dashboard!$B$14="Retention %",(1-Dashboard!$B$5)^12,IF(Dashboard!$B$14="MRR ($)",$B26*Dashboard!$B$4*(1-Dashboard!$B$5+Dashboard!$B$6)^12,IF(Dashboard!$B$14="Churned Customers",$B26*(1-(1-Dashboard!$B$5)^12),IF(Dashboard!$B$14="Cumulative Revenue ($)",$B26*Dashboard!$B$4*IF(Dashboard!$B$5=Dashboard!$B$6,13,((1-Dashboard!$B$5+Dashboard!$B$6)^13-1)/(Dashboard!$B$6-Dashboard!$B$5)),IF(Dashboard!$B$14="LTV per Customer ($)",IF($B26&gt;0,Dashboard!$B$4*IF(Dashboard!$B$5=Dashboard!$B$6,13,((1-Dashboard!$B$5+Dashboard!$B$6)^13-1)/(Dashboard!$B$6-Dashboard!$B$5)),0),"")))))</f>
        <v>0.41859629747937033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21"/>
    </row>
    <row r="27" spans="1:38" x14ac:dyDescent="0.35">
      <c r="A27" s="40" t="s">
        <v>109</v>
      </c>
      <c r="B27" s="44">
        <v>1</v>
      </c>
      <c r="C27" s="46">
        <f>IF(Dashboard!$B$14="Retention %",1,IF(Dashboard!$B$14="MRR ($)",$B27*Dashboard!$B$4,IF(Dashboard!$B$14="Churned Customers",0,IF(Dashboard!$B$14="Cumulative Revenue ($)",$B27*Dashboard!$B$4,IF(Dashboard!$B$14="LTV per Customer ($)",IF($B27&gt;0,Dashboard!$B$4,0),"")))))</f>
        <v>1</v>
      </c>
      <c r="D27" s="37">
        <f>IF(Dashboard!$B$14="Retention %",(1-Dashboard!$B$5)^1,IF(Dashboard!$B$14="MRR ($)",$B27*Dashboard!$B$4*(1-Dashboard!$B$5+Dashboard!$B$6)^1,IF(Dashboard!$B$14="Churned Customers",$B27*(1-(1-Dashboard!$B$5)^1),IF(Dashboard!$B$14="Cumulative Revenue ($)",$B27*Dashboard!$B$4*IF(Dashboard!$B$5=Dashboard!$B$6,2,((1-Dashboard!$B$5+Dashboard!$B$6)^2-1)/(Dashboard!$B$6-Dashboard!$B$5)),IF(Dashboard!$B$14="LTV per Customer ($)",IF($B27&gt;0,Dashboard!$B$4*IF(Dashboard!$B$5=Dashboard!$B$6,2,((1-Dashboard!$B$5+Dashboard!$B$6)^2-1)/(Dashboard!$B$6-Dashboard!$B$5)),0),"")))))</f>
        <v>0.92999999999999994</v>
      </c>
      <c r="E27" s="37">
        <f>IF(Dashboard!$B$14="Retention %",(1-Dashboard!$B$5)^2,IF(Dashboard!$B$14="MRR ($)",$B27*Dashboard!$B$4*(1-Dashboard!$B$5+Dashboard!$B$6)^2,IF(Dashboard!$B$14="Churned Customers",$B27*(1-(1-Dashboard!$B$5)^2),IF(Dashboard!$B$14="Cumulative Revenue ($)",$B27*Dashboard!$B$4*IF(Dashboard!$B$5=Dashboard!$B$6,3,((1-Dashboard!$B$5+Dashboard!$B$6)^3-1)/(Dashboard!$B$6-Dashboard!$B$5)),IF(Dashboard!$B$14="LTV per Customer ($)",IF($B27&gt;0,Dashboard!$B$4*IF(Dashboard!$B$5=Dashboard!$B$6,3,((1-Dashboard!$B$5+Dashboard!$B$6)^3-1)/(Dashboard!$B$6-Dashboard!$B$5)),0),"")))))</f>
        <v>0.86489999999999989</v>
      </c>
      <c r="F27" s="37">
        <f>IF(Dashboard!$B$14="Retention %",(1-Dashboard!$B$5)^3,IF(Dashboard!$B$14="MRR ($)",$B27*Dashboard!$B$4*(1-Dashboard!$B$5+Dashboard!$B$6)^3,IF(Dashboard!$B$14="Churned Customers",$B27*(1-(1-Dashboard!$B$5)^3),IF(Dashboard!$B$14="Cumulative Revenue ($)",$B27*Dashboard!$B$4*IF(Dashboard!$B$5=Dashboard!$B$6,4,((1-Dashboard!$B$5+Dashboard!$B$6)^4-1)/(Dashboard!$B$6-Dashboard!$B$5)),IF(Dashboard!$B$14="LTV per Customer ($)",IF($B27&gt;0,Dashboard!$B$4*IF(Dashboard!$B$5=Dashboard!$B$6,4,((1-Dashboard!$B$5+Dashboard!$B$6)^4-1)/(Dashboard!$B$6-Dashboard!$B$5)),0),"")))))</f>
        <v>0.80435699999999988</v>
      </c>
      <c r="G27" s="37">
        <f>IF(Dashboard!$B$14="Retention %",(1-Dashboard!$B$5)^4,IF(Dashboard!$B$14="MRR ($)",$B27*Dashboard!$B$4*(1-Dashboard!$B$5+Dashboard!$B$6)^4,IF(Dashboard!$B$14="Churned Customers",$B27*(1-(1-Dashboard!$B$5)^4),IF(Dashboard!$B$14="Cumulative Revenue ($)",$B27*Dashboard!$B$4*IF(Dashboard!$B$5=Dashboard!$B$6,5,((1-Dashboard!$B$5+Dashboard!$B$6)^5-1)/(Dashboard!$B$6-Dashboard!$B$5)),IF(Dashboard!$B$14="LTV per Customer ($)",IF($B27&gt;0,Dashboard!$B$4*IF(Dashboard!$B$5=Dashboard!$B$6,5,((1-Dashboard!$B$5+Dashboard!$B$6)^5-1)/(Dashboard!$B$6-Dashboard!$B$5)),0),"")))))</f>
        <v>0.74805200999999977</v>
      </c>
      <c r="H27" s="37">
        <f>IF(Dashboard!$B$14="Retention %",(1-Dashboard!$B$5)^5,IF(Dashboard!$B$14="MRR ($)",$B27*Dashboard!$B$4*(1-Dashboard!$B$5+Dashboard!$B$6)^5,IF(Dashboard!$B$14="Churned Customers",$B27*(1-(1-Dashboard!$B$5)^5),IF(Dashboard!$B$14="Cumulative Revenue ($)",$B27*Dashboard!$B$4*IF(Dashboard!$B$5=Dashboard!$B$6,6,((1-Dashboard!$B$5+Dashboard!$B$6)^6-1)/(Dashboard!$B$6-Dashboard!$B$5)),IF(Dashboard!$B$14="LTV per Customer ($)",IF($B27&gt;0,Dashboard!$B$4*IF(Dashboard!$B$5=Dashboard!$B$6,6,((1-Dashboard!$B$5+Dashboard!$B$6)^6-1)/(Dashboard!$B$6-Dashboard!$B$5)),0),"")))))</f>
        <v>0.69568836929999978</v>
      </c>
      <c r="I27" s="37">
        <f>IF(Dashboard!$B$14="Retention %",(1-Dashboard!$B$5)^6,IF(Dashboard!$B$14="MRR ($)",$B27*Dashboard!$B$4*(1-Dashboard!$B$5+Dashboard!$B$6)^6,IF(Dashboard!$B$14="Churned Customers",$B27*(1-(1-Dashboard!$B$5)^6),IF(Dashboard!$B$14="Cumulative Revenue ($)",$B27*Dashboard!$B$4*IF(Dashboard!$B$5=Dashboard!$B$6,7,((1-Dashboard!$B$5+Dashboard!$B$6)^7-1)/(Dashboard!$B$6-Dashboard!$B$5)),IF(Dashboard!$B$14="LTV per Customer ($)",IF($B27&gt;0,Dashboard!$B$4*IF(Dashboard!$B$5=Dashboard!$B$6,7,((1-Dashboard!$B$5+Dashboard!$B$6)^7-1)/(Dashboard!$B$6-Dashboard!$B$5)),0),"")))))</f>
        <v>0.64699018344899972</v>
      </c>
      <c r="J27" s="37">
        <f>IF(Dashboard!$B$14="Retention %",(1-Dashboard!$B$5)^7,IF(Dashboard!$B$14="MRR ($)",$B27*Dashboard!$B$4*(1-Dashboard!$B$5+Dashboard!$B$6)^7,IF(Dashboard!$B$14="Churned Customers",$B27*(1-(1-Dashboard!$B$5)^7),IF(Dashboard!$B$14="Cumulative Revenue ($)",$B27*Dashboard!$B$4*IF(Dashboard!$B$5=Dashboard!$B$6,8,((1-Dashboard!$B$5+Dashboard!$B$6)^8-1)/(Dashboard!$B$6-Dashboard!$B$5)),IF(Dashboard!$B$14="LTV per Customer ($)",IF($B27&gt;0,Dashboard!$B$4*IF(Dashboard!$B$5=Dashboard!$B$6,8,((1-Dashboard!$B$5+Dashboard!$B$6)^8-1)/(Dashboard!$B$6-Dashboard!$B$5)),0),"")))))</f>
        <v>0.60170087060756972</v>
      </c>
      <c r="K27" s="37">
        <f>IF(Dashboard!$B$14="Retention %",(1-Dashboard!$B$5)^8,IF(Dashboard!$B$14="MRR ($)",$B27*Dashboard!$B$4*(1-Dashboard!$B$5+Dashboard!$B$6)^8,IF(Dashboard!$B$14="Churned Customers",$B27*(1-(1-Dashboard!$B$5)^8),IF(Dashboard!$B$14="Cumulative Revenue ($)",$B27*Dashboard!$B$4*IF(Dashboard!$B$5=Dashboard!$B$6,9,((1-Dashboard!$B$5+Dashboard!$B$6)^9-1)/(Dashboard!$B$6-Dashboard!$B$5)),IF(Dashboard!$B$14="LTV per Customer ($)",IF($B27&gt;0,Dashboard!$B$4*IF(Dashboard!$B$5=Dashboard!$B$6,9,((1-Dashboard!$B$5+Dashboard!$B$6)^9-1)/(Dashboard!$B$6-Dashboard!$B$5)),0),"")))))</f>
        <v>0.55958180966503979</v>
      </c>
      <c r="L27" s="37">
        <f>IF(Dashboard!$B$14="Retention %",(1-Dashboard!$B$5)^9,IF(Dashboard!$B$14="MRR ($)",$B27*Dashboard!$B$4*(1-Dashboard!$B$5+Dashboard!$B$6)^9,IF(Dashboard!$B$14="Churned Customers",$B27*(1-(1-Dashboard!$B$5)^9),IF(Dashboard!$B$14="Cumulative Revenue ($)",$B27*Dashboard!$B$4*IF(Dashboard!$B$5=Dashboard!$B$6,10,((1-Dashboard!$B$5+Dashboard!$B$6)^10-1)/(Dashboard!$B$6-Dashboard!$B$5)),IF(Dashboard!$B$14="LTV per Customer ($)",IF($B27&gt;0,Dashboard!$B$4*IF(Dashboard!$B$5=Dashboard!$B$6,10,((1-Dashboard!$B$5+Dashboard!$B$6)^10-1)/(Dashboard!$B$6-Dashboard!$B$5)),0),"")))))</f>
        <v>0.52041108298848693</v>
      </c>
      <c r="M27" s="17">
        <f>IF(Dashboard!$B$14="Retention %",(1-Dashboard!$B$5)^10,IF(Dashboard!$B$14="MRR ($)",$B27*Dashboard!$B$4*(1-Dashboard!$B$5+Dashboard!$B$6)^10,IF(Dashboard!$B$14="Churned Customers",$B27*(1-(1-Dashboard!$B$5)^10),IF(Dashboard!$B$14="Cumulative Revenue ($)",$B27*Dashboard!$B$4*IF(Dashboard!$B$5=Dashboard!$B$6,11,((1-Dashboard!$B$5+Dashboard!$B$6)^11-1)/(Dashboard!$B$6-Dashboard!$B$5)),IF(Dashboard!$B$14="LTV per Customer ($)",IF($B27&gt;0,Dashboard!$B$4*IF(Dashboard!$B$5=Dashboard!$B$6,11,((1-Dashboard!$B$5+Dashboard!$B$6)^11-1)/(Dashboard!$B$6-Dashboard!$B$5)),0),"")))))</f>
        <v>0.48398230717929286</v>
      </c>
      <c r="N27" s="17">
        <f>IF(Dashboard!$B$14="Retention %",(1-Dashboard!$B$5)^11,IF(Dashboard!$B$14="MRR ($)",$B27*Dashboard!$B$4*(1-Dashboard!$B$5+Dashboard!$B$6)^11,IF(Dashboard!$B$14="Churned Customers",$B27*(1-(1-Dashboard!$B$5)^11),IF(Dashboard!$B$14="Cumulative Revenue ($)",$B27*Dashboard!$B$4*IF(Dashboard!$B$5=Dashboard!$B$6,12,((1-Dashboard!$B$5+Dashboard!$B$6)^12-1)/(Dashboard!$B$6-Dashboard!$B$5)),IF(Dashboard!$B$14="LTV per Customer ($)",IF($B27&gt;0,Dashboard!$B$4*IF(Dashboard!$B$5=Dashboard!$B$6,12,((1-Dashboard!$B$5+Dashboard!$B$6)^12-1)/(Dashboard!$B$6-Dashboard!$B$5)),0),"")))))</f>
        <v>0.45010354567674232</v>
      </c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22"/>
    </row>
    <row r="28" spans="1:38" x14ac:dyDescent="0.35">
      <c r="A28" s="40" t="s">
        <v>110</v>
      </c>
      <c r="B28" s="44">
        <v>1</v>
      </c>
      <c r="C28" s="46">
        <f>IF(Dashboard!$B$14="Retention %",1,IF(Dashboard!$B$14="MRR ($)",$B28*Dashboard!$B$4,IF(Dashboard!$B$14="Churned Customers",0,IF(Dashboard!$B$14="Cumulative Revenue ($)",$B28*Dashboard!$B$4,IF(Dashboard!$B$14="LTV per Customer ($)",IF($B28&gt;0,Dashboard!$B$4,0),"")))))</f>
        <v>1</v>
      </c>
      <c r="D28" s="36">
        <f>IF(Dashboard!$B$14="Retention %",(1-Dashboard!$B$5)^1,IF(Dashboard!$B$14="MRR ($)",$B28*Dashboard!$B$4*(1-Dashboard!$B$5+Dashboard!$B$6)^1,IF(Dashboard!$B$14="Churned Customers",$B28*(1-(1-Dashboard!$B$5)^1),IF(Dashboard!$B$14="Cumulative Revenue ($)",$B28*Dashboard!$B$4*IF(Dashboard!$B$5=Dashboard!$B$6,2,((1-Dashboard!$B$5+Dashboard!$B$6)^2-1)/(Dashboard!$B$6-Dashboard!$B$5)),IF(Dashboard!$B$14="LTV per Customer ($)",IF($B28&gt;0,Dashboard!$B$4*IF(Dashboard!$B$5=Dashboard!$B$6,2,((1-Dashboard!$B$5+Dashboard!$B$6)^2-1)/(Dashboard!$B$6-Dashboard!$B$5)),0),"")))))</f>
        <v>0.92999999999999994</v>
      </c>
      <c r="E28" s="36">
        <f>IF(Dashboard!$B$14="Retention %",(1-Dashboard!$B$5)^2,IF(Dashboard!$B$14="MRR ($)",$B28*Dashboard!$B$4*(1-Dashboard!$B$5+Dashboard!$B$6)^2,IF(Dashboard!$B$14="Churned Customers",$B28*(1-(1-Dashboard!$B$5)^2),IF(Dashboard!$B$14="Cumulative Revenue ($)",$B28*Dashboard!$B$4*IF(Dashboard!$B$5=Dashboard!$B$6,3,((1-Dashboard!$B$5+Dashboard!$B$6)^3-1)/(Dashboard!$B$6-Dashboard!$B$5)),IF(Dashboard!$B$14="LTV per Customer ($)",IF($B28&gt;0,Dashboard!$B$4*IF(Dashboard!$B$5=Dashboard!$B$6,3,((1-Dashboard!$B$5+Dashboard!$B$6)^3-1)/(Dashboard!$B$6-Dashboard!$B$5)),0),"")))))</f>
        <v>0.86489999999999989</v>
      </c>
      <c r="F28" s="36">
        <f>IF(Dashboard!$B$14="Retention %",(1-Dashboard!$B$5)^3,IF(Dashboard!$B$14="MRR ($)",$B28*Dashboard!$B$4*(1-Dashboard!$B$5+Dashboard!$B$6)^3,IF(Dashboard!$B$14="Churned Customers",$B28*(1-(1-Dashboard!$B$5)^3),IF(Dashboard!$B$14="Cumulative Revenue ($)",$B28*Dashboard!$B$4*IF(Dashboard!$B$5=Dashboard!$B$6,4,((1-Dashboard!$B$5+Dashboard!$B$6)^4-1)/(Dashboard!$B$6-Dashboard!$B$5)),IF(Dashboard!$B$14="LTV per Customer ($)",IF($B28&gt;0,Dashboard!$B$4*IF(Dashboard!$B$5=Dashboard!$B$6,4,((1-Dashboard!$B$5+Dashboard!$B$6)^4-1)/(Dashboard!$B$6-Dashboard!$B$5)),0),"")))))</f>
        <v>0.80435699999999988</v>
      </c>
      <c r="G28" s="36">
        <f>IF(Dashboard!$B$14="Retention %",(1-Dashboard!$B$5)^4,IF(Dashboard!$B$14="MRR ($)",$B28*Dashboard!$B$4*(1-Dashboard!$B$5+Dashboard!$B$6)^4,IF(Dashboard!$B$14="Churned Customers",$B28*(1-(1-Dashboard!$B$5)^4),IF(Dashboard!$B$14="Cumulative Revenue ($)",$B28*Dashboard!$B$4*IF(Dashboard!$B$5=Dashboard!$B$6,5,((1-Dashboard!$B$5+Dashboard!$B$6)^5-1)/(Dashboard!$B$6-Dashboard!$B$5)),IF(Dashboard!$B$14="LTV per Customer ($)",IF($B28&gt;0,Dashboard!$B$4*IF(Dashboard!$B$5=Dashboard!$B$6,5,((1-Dashboard!$B$5+Dashboard!$B$6)^5-1)/(Dashboard!$B$6-Dashboard!$B$5)),0),"")))))</f>
        <v>0.74805200999999977</v>
      </c>
      <c r="H28" s="36">
        <f>IF(Dashboard!$B$14="Retention %",(1-Dashboard!$B$5)^5,IF(Dashboard!$B$14="MRR ($)",$B28*Dashboard!$B$4*(1-Dashboard!$B$5+Dashboard!$B$6)^5,IF(Dashboard!$B$14="Churned Customers",$B28*(1-(1-Dashboard!$B$5)^5),IF(Dashboard!$B$14="Cumulative Revenue ($)",$B28*Dashboard!$B$4*IF(Dashboard!$B$5=Dashboard!$B$6,6,((1-Dashboard!$B$5+Dashboard!$B$6)^6-1)/(Dashboard!$B$6-Dashboard!$B$5)),IF(Dashboard!$B$14="LTV per Customer ($)",IF($B28&gt;0,Dashboard!$B$4*IF(Dashboard!$B$5=Dashboard!$B$6,6,((1-Dashboard!$B$5+Dashboard!$B$6)^6-1)/(Dashboard!$B$6-Dashboard!$B$5)),0),"")))))</f>
        <v>0.69568836929999978</v>
      </c>
      <c r="I28" s="36">
        <f>IF(Dashboard!$B$14="Retention %",(1-Dashboard!$B$5)^6,IF(Dashboard!$B$14="MRR ($)",$B28*Dashboard!$B$4*(1-Dashboard!$B$5+Dashboard!$B$6)^6,IF(Dashboard!$B$14="Churned Customers",$B28*(1-(1-Dashboard!$B$5)^6),IF(Dashboard!$B$14="Cumulative Revenue ($)",$B28*Dashboard!$B$4*IF(Dashboard!$B$5=Dashboard!$B$6,7,((1-Dashboard!$B$5+Dashboard!$B$6)^7-1)/(Dashboard!$B$6-Dashboard!$B$5)),IF(Dashboard!$B$14="LTV per Customer ($)",IF($B28&gt;0,Dashboard!$B$4*IF(Dashboard!$B$5=Dashboard!$B$6,7,((1-Dashboard!$B$5+Dashboard!$B$6)^7-1)/(Dashboard!$B$6-Dashboard!$B$5)),0),"")))))</f>
        <v>0.64699018344899972</v>
      </c>
      <c r="J28" s="36">
        <f>IF(Dashboard!$B$14="Retention %",(1-Dashboard!$B$5)^7,IF(Dashboard!$B$14="MRR ($)",$B28*Dashboard!$B$4*(1-Dashboard!$B$5+Dashboard!$B$6)^7,IF(Dashboard!$B$14="Churned Customers",$B28*(1-(1-Dashboard!$B$5)^7),IF(Dashboard!$B$14="Cumulative Revenue ($)",$B28*Dashboard!$B$4*IF(Dashboard!$B$5=Dashboard!$B$6,8,((1-Dashboard!$B$5+Dashboard!$B$6)^8-1)/(Dashboard!$B$6-Dashboard!$B$5)),IF(Dashboard!$B$14="LTV per Customer ($)",IF($B28&gt;0,Dashboard!$B$4*IF(Dashboard!$B$5=Dashboard!$B$6,8,((1-Dashboard!$B$5+Dashboard!$B$6)^8-1)/(Dashboard!$B$6-Dashboard!$B$5)),0),"")))))</f>
        <v>0.60170087060756972</v>
      </c>
      <c r="K28" s="36">
        <f>IF(Dashboard!$B$14="Retention %",(1-Dashboard!$B$5)^8,IF(Dashboard!$B$14="MRR ($)",$B28*Dashboard!$B$4*(1-Dashboard!$B$5+Dashboard!$B$6)^8,IF(Dashboard!$B$14="Churned Customers",$B28*(1-(1-Dashboard!$B$5)^8),IF(Dashboard!$B$14="Cumulative Revenue ($)",$B28*Dashboard!$B$4*IF(Dashboard!$B$5=Dashboard!$B$6,9,((1-Dashboard!$B$5+Dashboard!$B$6)^9-1)/(Dashboard!$B$6-Dashboard!$B$5)),IF(Dashboard!$B$14="LTV per Customer ($)",IF($B28&gt;0,Dashboard!$B$4*IF(Dashboard!$B$5=Dashboard!$B$6,9,((1-Dashboard!$B$5+Dashboard!$B$6)^9-1)/(Dashboard!$B$6-Dashboard!$B$5)),0),"")))))</f>
        <v>0.55958180966503979</v>
      </c>
      <c r="L28" s="36">
        <f>IF(Dashboard!$B$14="Retention %",(1-Dashboard!$B$5)^9,IF(Dashboard!$B$14="MRR ($)",$B28*Dashboard!$B$4*(1-Dashboard!$B$5+Dashboard!$B$6)^9,IF(Dashboard!$B$14="Churned Customers",$B28*(1-(1-Dashboard!$B$5)^9),IF(Dashboard!$B$14="Cumulative Revenue ($)",$B28*Dashboard!$B$4*IF(Dashboard!$B$5=Dashboard!$B$6,10,((1-Dashboard!$B$5+Dashboard!$B$6)^10-1)/(Dashboard!$B$6-Dashboard!$B$5)),IF(Dashboard!$B$14="LTV per Customer ($)",IF($B28&gt;0,Dashboard!$B$4*IF(Dashboard!$B$5=Dashboard!$B$6,10,((1-Dashboard!$B$5+Dashboard!$B$6)^10-1)/(Dashboard!$B$6-Dashboard!$B$5)),0),"")))))</f>
        <v>0.52041108298848693</v>
      </c>
      <c r="M28" s="16">
        <f>IF(Dashboard!$B$14="Retention %",(1-Dashboard!$B$5)^10,IF(Dashboard!$B$14="MRR ($)",$B28*Dashboard!$B$4*(1-Dashboard!$B$5+Dashboard!$B$6)^10,IF(Dashboard!$B$14="Churned Customers",$B28*(1-(1-Dashboard!$B$5)^10),IF(Dashboard!$B$14="Cumulative Revenue ($)",$B28*Dashboard!$B$4*IF(Dashboard!$B$5=Dashboard!$B$6,11,((1-Dashboard!$B$5+Dashboard!$B$6)^11-1)/(Dashboard!$B$6-Dashboard!$B$5)),IF(Dashboard!$B$14="LTV per Customer ($)",IF($B28&gt;0,Dashboard!$B$4*IF(Dashboard!$B$5=Dashboard!$B$6,11,((1-Dashboard!$B$5+Dashboard!$B$6)^11-1)/(Dashboard!$B$6-Dashboard!$B$5)),0),"")))))</f>
        <v>0.48398230717929286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21"/>
    </row>
    <row r="29" spans="1:38" x14ac:dyDescent="0.35">
      <c r="A29" s="40" t="s">
        <v>111</v>
      </c>
      <c r="B29" s="44">
        <v>2</v>
      </c>
      <c r="C29" s="46">
        <f>IF(Dashboard!$B$14="Retention %",1,IF(Dashboard!$B$14="MRR ($)",$B29*Dashboard!$B$4,IF(Dashboard!$B$14="Churned Customers",0,IF(Dashboard!$B$14="Cumulative Revenue ($)",$B29*Dashboard!$B$4,IF(Dashboard!$B$14="LTV per Customer ($)",IF($B29&gt;0,Dashboard!$B$4,0),"")))))</f>
        <v>1</v>
      </c>
      <c r="D29" s="37">
        <f>IF(Dashboard!$B$14="Retention %",(1-Dashboard!$B$5)^1,IF(Dashboard!$B$14="MRR ($)",$B29*Dashboard!$B$4*(1-Dashboard!$B$5+Dashboard!$B$6)^1,IF(Dashboard!$B$14="Churned Customers",$B29*(1-(1-Dashboard!$B$5)^1),IF(Dashboard!$B$14="Cumulative Revenue ($)",$B29*Dashboard!$B$4*IF(Dashboard!$B$5=Dashboard!$B$6,2,((1-Dashboard!$B$5+Dashboard!$B$6)^2-1)/(Dashboard!$B$6-Dashboard!$B$5)),IF(Dashboard!$B$14="LTV per Customer ($)",IF($B29&gt;0,Dashboard!$B$4*IF(Dashboard!$B$5=Dashboard!$B$6,2,((1-Dashboard!$B$5+Dashboard!$B$6)^2-1)/(Dashboard!$B$6-Dashboard!$B$5)),0),"")))))</f>
        <v>0.92999999999999994</v>
      </c>
      <c r="E29" s="37">
        <f>IF(Dashboard!$B$14="Retention %",(1-Dashboard!$B$5)^2,IF(Dashboard!$B$14="MRR ($)",$B29*Dashboard!$B$4*(1-Dashboard!$B$5+Dashboard!$B$6)^2,IF(Dashboard!$B$14="Churned Customers",$B29*(1-(1-Dashboard!$B$5)^2),IF(Dashboard!$B$14="Cumulative Revenue ($)",$B29*Dashboard!$B$4*IF(Dashboard!$B$5=Dashboard!$B$6,3,((1-Dashboard!$B$5+Dashboard!$B$6)^3-1)/(Dashboard!$B$6-Dashboard!$B$5)),IF(Dashboard!$B$14="LTV per Customer ($)",IF($B29&gt;0,Dashboard!$B$4*IF(Dashboard!$B$5=Dashboard!$B$6,3,((1-Dashboard!$B$5+Dashboard!$B$6)^3-1)/(Dashboard!$B$6-Dashboard!$B$5)),0),"")))))</f>
        <v>0.86489999999999989</v>
      </c>
      <c r="F29" s="37">
        <f>IF(Dashboard!$B$14="Retention %",(1-Dashboard!$B$5)^3,IF(Dashboard!$B$14="MRR ($)",$B29*Dashboard!$B$4*(1-Dashboard!$B$5+Dashboard!$B$6)^3,IF(Dashboard!$B$14="Churned Customers",$B29*(1-(1-Dashboard!$B$5)^3),IF(Dashboard!$B$14="Cumulative Revenue ($)",$B29*Dashboard!$B$4*IF(Dashboard!$B$5=Dashboard!$B$6,4,((1-Dashboard!$B$5+Dashboard!$B$6)^4-1)/(Dashboard!$B$6-Dashboard!$B$5)),IF(Dashboard!$B$14="LTV per Customer ($)",IF($B29&gt;0,Dashboard!$B$4*IF(Dashboard!$B$5=Dashboard!$B$6,4,((1-Dashboard!$B$5+Dashboard!$B$6)^4-1)/(Dashboard!$B$6-Dashboard!$B$5)),0),"")))))</f>
        <v>0.80435699999999988</v>
      </c>
      <c r="G29" s="37">
        <f>IF(Dashboard!$B$14="Retention %",(1-Dashboard!$B$5)^4,IF(Dashboard!$B$14="MRR ($)",$B29*Dashboard!$B$4*(1-Dashboard!$B$5+Dashboard!$B$6)^4,IF(Dashboard!$B$14="Churned Customers",$B29*(1-(1-Dashboard!$B$5)^4),IF(Dashboard!$B$14="Cumulative Revenue ($)",$B29*Dashboard!$B$4*IF(Dashboard!$B$5=Dashboard!$B$6,5,((1-Dashboard!$B$5+Dashboard!$B$6)^5-1)/(Dashboard!$B$6-Dashboard!$B$5)),IF(Dashboard!$B$14="LTV per Customer ($)",IF($B29&gt;0,Dashboard!$B$4*IF(Dashboard!$B$5=Dashboard!$B$6,5,((1-Dashboard!$B$5+Dashboard!$B$6)^5-1)/(Dashboard!$B$6-Dashboard!$B$5)),0),"")))))</f>
        <v>0.74805200999999977</v>
      </c>
      <c r="H29" s="37">
        <f>IF(Dashboard!$B$14="Retention %",(1-Dashboard!$B$5)^5,IF(Dashboard!$B$14="MRR ($)",$B29*Dashboard!$B$4*(1-Dashboard!$B$5+Dashboard!$B$6)^5,IF(Dashboard!$B$14="Churned Customers",$B29*(1-(1-Dashboard!$B$5)^5),IF(Dashboard!$B$14="Cumulative Revenue ($)",$B29*Dashboard!$B$4*IF(Dashboard!$B$5=Dashboard!$B$6,6,((1-Dashboard!$B$5+Dashboard!$B$6)^6-1)/(Dashboard!$B$6-Dashboard!$B$5)),IF(Dashboard!$B$14="LTV per Customer ($)",IF($B29&gt;0,Dashboard!$B$4*IF(Dashboard!$B$5=Dashboard!$B$6,6,((1-Dashboard!$B$5+Dashboard!$B$6)^6-1)/(Dashboard!$B$6-Dashboard!$B$5)),0),"")))))</f>
        <v>0.69568836929999978</v>
      </c>
      <c r="I29" s="37">
        <f>IF(Dashboard!$B$14="Retention %",(1-Dashboard!$B$5)^6,IF(Dashboard!$B$14="MRR ($)",$B29*Dashboard!$B$4*(1-Dashboard!$B$5+Dashboard!$B$6)^6,IF(Dashboard!$B$14="Churned Customers",$B29*(1-(1-Dashboard!$B$5)^6),IF(Dashboard!$B$14="Cumulative Revenue ($)",$B29*Dashboard!$B$4*IF(Dashboard!$B$5=Dashboard!$B$6,7,((1-Dashboard!$B$5+Dashboard!$B$6)^7-1)/(Dashboard!$B$6-Dashboard!$B$5)),IF(Dashboard!$B$14="LTV per Customer ($)",IF($B29&gt;0,Dashboard!$B$4*IF(Dashboard!$B$5=Dashboard!$B$6,7,((1-Dashboard!$B$5+Dashboard!$B$6)^7-1)/(Dashboard!$B$6-Dashboard!$B$5)),0),"")))))</f>
        <v>0.64699018344899972</v>
      </c>
      <c r="J29" s="37">
        <f>IF(Dashboard!$B$14="Retention %",(1-Dashboard!$B$5)^7,IF(Dashboard!$B$14="MRR ($)",$B29*Dashboard!$B$4*(1-Dashboard!$B$5+Dashboard!$B$6)^7,IF(Dashboard!$B$14="Churned Customers",$B29*(1-(1-Dashboard!$B$5)^7),IF(Dashboard!$B$14="Cumulative Revenue ($)",$B29*Dashboard!$B$4*IF(Dashboard!$B$5=Dashboard!$B$6,8,((1-Dashboard!$B$5+Dashboard!$B$6)^8-1)/(Dashboard!$B$6-Dashboard!$B$5)),IF(Dashboard!$B$14="LTV per Customer ($)",IF($B29&gt;0,Dashboard!$B$4*IF(Dashboard!$B$5=Dashboard!$B$6,8,((1-Dashboard!$B$5+Dashboard!$B$6)^8-1)/(Dashboard!$B$6-Dashboard!$B$5)),0),"")))))</f>
        <v>0.60170087060756972</v>
      </c>
      <c r="K29" s="37">
        <f>IF(Dashboard!$B$14="Retention %",(1-Dashboard!$B$5)^8,IF(Dashboard!$B$14="MRR ($)",$B29*Dashboard!$B$4*(1-Dashboard!$B$5+Dashboard!$B$6)^8,IF(Dashboard!$B$14="Churned Customers",$B29*(1-(1-Dashboard!$B$5)^8),IF(Dashboard!$B$14="Cumulative Revenue ($)",$B29*Dashboard!$B$4*IF(Dashboard!$B$5=Dashboard!$B$6,9,((1-Dashboard!$B$5+Dashboard!$B$6)^9-1)/(Dashboard!$B$6-Dashboard!$B$5)),IF(Dashboard!$B$14="LTV per Customer ($)",IF($B29&gt;0,Dashboard!$B$4*IF(Dashboard!$B$5=Dashboard!$B$6,9,((1-Dashboard!$B$5+Dashboard!$B$6)^9-1)/(Dashboard!$B$6-Dashboard!$B$5)),0),"")))))</f>
        <v>0.55958180966503979</v>
      </c>
      <c r="L29" s="37">
        <f>IF(Dashboard!$B$14="Retention %",(1-Dashboard!$B$5)^9,IF(Dashboard!$B$14="MRR ($)",$B29*Dashboard!$B$4*(1-Dashboard!$B$5+Dashboard!$B$6)^9,IF(Dashboard!$B$14="Churned Customers",$B29*(1-(1-Dashboard!$B$5)^9),IF(Dashboard!$B$14="Cumulative Revenue ($)",$B29*Dashboard!$B$4*IF(Dashboard!$B$5=Dashboard!$B$6,10,((1-Dashboard!$B$5+Dashboard!$B$6)^10-1)/(Dashboard!$B$6-Dashboard!$B$5)),IF(Dashboard!$B$14="LTV per Customer ($)",IF($B29&gt;0,Dashboard!$B$4*IF(Dashboard!$B$5=Dashboard!$B$6,10,((1-Dashboard!$B$5+Dashboard!$B$6)^10-1)/(Dashboard!$B$6-Dashboard!$B$5)),0),"")))))</f>
        <v>0.52041108298848693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22"/>
    </row>
    <row r="30" spans="1:38" x14ac:dyDescent="0.35">
      <c r="A30" s="40" t="s">
        <v>112</v>
      </c>
      <c r="B30" s="44">
        <v>2</v>
      </c>
      <c r="C30" s="46">
        <f>IF(Dashboard!$B$14="Retention %",1,IF(Dashboard!$B$14="MRR ($)",$B30*Dashboard!$B$4,IF(Dashboard!$B$14="Churned Customers",0,IF(Dashboard!$B$14="Cumulative Revenue ($)",$B30*Dashboard!$B$4,IF(Dashboard!$B$14="LTV per Customer ($)",IF($B30&gt;0,Dashboard!$B$4,0),"")))))</f>
        <v>1</v>
      </c>
      <c r="D30" s="36">
        <f>IF(Dashboard!$B$14="Retention %",(1-Dashboard!$B$5)^1,IF(Dashboard!$B$14="MRR ($)",$B30*Dashboard!$B$4*(1-Dashboard!$B$5+Dashboard!$B$6)^1,IF(Dashboard!$B$14="Churned Customers",$B30*(1-(1-Dashboard!$B$5)^1),IF(Dashboard!$B$14="Cumulative Revenue ($)",$B30*Dashboard!$B$4*IF(Dashboard!$B$5=Dashboard!$B$6,2,((1-Dashboard!$B$5+Dashboard!$B$6)^2-1)/(Dashboard!$B$6-Dashboard!$B$5)),IF(Dashboard!$B$14="LTV per Customer ($)",IF($B30&gt;0,Dashboard!$B$4*IF(Dashboard!$B$5=Dashboard!$B$6,2,((1-Dashboard!$B$5+Dashboard!$B$6)^2-1)/(Dashboard!$B$6-Dashboard!$B$5)),0),"")))))</f>
        <v>0.92999999999999994</v>
      </c>
      <c r="E30" s="36">
        <f>IF(Dashboard!$B$14="Retention %",(1-Dashboard!$B$5)^2,IF(Dashboard!$B$14="MRR ($)",$B30*Dashboard!$B$4*(1-Dashboard!$B$5+Dashboard!$B$6)^2,IF(Dashboard!$B$14="Churned Customers",$B30*(1-(1-Dashboard!$B$5)^2),IF(Dashboard!$B$14="Cumulative Revenue ($)",$B30*Dashboard!$B$4*IF(Dashboard!$B$5=Dashboard!$B$6,3,((1-Dashboard!$B$5+Dashboard!$B$6)^3-1)/(Dashboard!$B$6-Dashboard!$B$5)),IF(Dashboard!$B$14="LTV per Customer ($)",IF($B30&gt;0,Dashboard!$B$4*IF(Dashboard!$B$5=Dashboard!$B$6,3,((1-Dashboard!$B$5+Dashboard!$B$6)^3-1)/(Dashboard!$B$6-Dashboard!$B$5)),0),"")))))</f>
        <v>0.86489999999999989</v>
      </c>
      <c r="F30" s="36">
        <f>IF(Dashboard!$B$14="Retention %",(1-Dashboard!$B$5)^3,IF(Dashboard!$B$14="MRR ($)",$B30*Dashboard!$B$4*(1-Dashboard!$B$5+Dashboard!$B$6)^3,IF(Dashboard!$B$14="Churned Customers",$B30*(1-(1-Dashboard!$B$5)^3),IF(Dashboard!$B$14="Cumulative Revenue ($)",$B30*Dashboard!$B$4*IF(Dashboard!$B$5=Dashboard!$B$6,4,((1-Dashboard!$B$5+Dashboard!$B$6)^4-1)/(Dashboard!$B$6-Dashboard!$B$5)),IF(Dashboard!$B$14="LTV per Customer ($)",IF($B30&gt;0,Dashboard!$B$4*IF(Dashboard!$B$5=Dashboard!$B$6,4,((1-Dashboard!$B$5+Dashboard!$B$6)^4-1)/(Dashboard!$B$6-Dashboard!$B$5)),0),"")))))</f>
        <v>0.80435699999999988</v>
      </c>
      <c r="G30" s="36">
        <f>IF(Dashboard!$B$14="Retention %",(1-Dashboard!$B$5)^4,IF(Dashboard!$B$14="MRR ($)",$B30*Dashboard!$B$4*(1-Dashboard!$B$5+Dashboard!$B$6)^4,IF(Dashboard!$B$14="Churned Customers",$B30*(1-(1-Dashboard!$B$5)^4),IF(Dashboard!$B$14="Cumulative Revenue ($)",$B30*Dashboard!$B$4*IF(Dashboard!$B$5=Dashboard!$B$6,5,((1-Dashboard!$B$5+Dashboard!$B$6)^5-1)/(Dashboard!$B$6-Dashboard!$B$5)),IF(Dashboard!$B$14="LTV per Customer ($)",IF($B30&gt;0,Dashboard!$B$4*IF(Dashboard!$B$5=Dashboard!$B$6,5,((1-Dashboard!$B$5+Dashboard!$B$6)^5-1)/(Dashboard!$B$6-Dashboard!$B$5)),0),"")))))</f>
        <v>0.74805200999999977</v>
      </c>
      <c r="H30" s="36">
        <f>IF(Dashboard!$B$14="Retention %",(1-Dashboard!$B$5)^5,IF(Dashboard!$B$14="MRR ($)",$B30*Dashboard!$B$4*(1-Dashboard!$B$5+Dashboard!$B$6)^5,IF(Dashboard!$B$14="Churned Customers",$B30*(1-(1-Dashboard!$B$5)^5),IF(Dashboard!$B$14="Cumulative Revenue ($)",$B30*Dashboard!$B$4*IF(Dashboard!$B$5=Dashboard!$B$6,6,((1-Dashboard!$B$5+Dashboard!$B$6)^6-1)/(Dashboard!$B$6-Dashboard!$B$5)),IF(Dashboard!$B$14="LTV per Customer ($)",IF($B30&gt;0,Dashboard!$B$4*IF(Dashboard!$B$5=Dashboard!$B$6,6,((1-Dashboard!$B$5+Dashboard!$B$6)^6-1)/(Dashboard!$B$6-Dashboard!$B$5)),0),"")))))</f>
        <v>0.69568836929999978</v>
      </c>
      <c r="I30" s="36">
        <f>IF(Dashboard!$B$14="Retention %",(1-Dashboard!$B$5)^6,IF(Dashboard!$B$14="MRR ($)",$B30*Dashboard!$B$4*(1-Dashboard!$B$5+Dashboard!$B$6)^6,IF(Dashboard!$B$14="Churned Customers",$B30*(1-(1-Dashboard!$B$5)^6),IF(Dashboard!$B$14="Cumulative Revenue ($)",$B30*Dashboard!$B$4*IF(Dashboard!$B$5=Dashboard!$B$6,7,((1-Dashboard!$B$5+Dashboard!$B$6)^7-1)/(Dashboard!$B$6-Dashboard!$B$5)),IF(Dashboard!$B$14="LTV per Customer ($)",IF($B30&gt;0,Dashboard!$B$4*IF(Dashboard!$B$5=Dashboard!$B$6,7,((1-Dashboard!$B$5+Dashboard!$B$6)^7-1)/(Dashboard!$B$6-Dashboard!$B$5)),0),"")))))</f>
        <v>0.64699018344899972</v>
      </c>
      <c r="J30" s="36">
        <f>IF(Dashboard!$B$14="Retention %",(1-Dashboard!$B$5)^7,IF(Dashboard!$B$14="MRR ($)",$B30*Dashboard!$B$4*(1-Dashboard!$B$5+Dashboard!$B$6)^7,IF(Dashboard!$B$14="Churned Customers",$B30*(1-(1-Dashboard!$B$5)^7),IF(Dashboard!$B$14="Cumulative Revenue ($)",$B30*Dashboard!$B$4*IF(Dashboard!$B$5=Dashboard!$B$6,8,((1-Dashboard!$B$5+Dashboard!$B$6)^8-1)/(Dashboard!$B$6-Dashboard!$B$5)),IF(Dashboard!$B$14="LTV per Customer ($)",IF($B30&gt;0,Dashboard!$B$4*IF(Dashboard!$B$5=Dashboard!$B$6,8,((1-Dashboard!$B$5+Dashboard!$B$6)^8-1)/(Dashboard!$B$6-Dashboard!$B$5)),0),"")))))</f>
        <v>0.60170087060756972</v>
      </c>
      <c r="K30" s="36">
        <f>IF(Dashboard!$B$14="Retention %",(1-Dashboard!$B$5)^8,IF(Dashboard!$B$14="MRR ($)",$B30*Dashboard!$B$4*(1-Dashboard!$B$5+Dashboard!$B$6)^8,IF(Dashboard!$B$14="Churned Customers",$B30*(1-(1-Dashboard!$B$5)^8),IF(Dashboard!$B$14="Cumulative Revenue ($)",$B30*Dashboard!$B$4*IF(Dashboard!$B$5=Dashboard!$B$6,9,((1-Dashboard!$B$5+Dashboard!$B$6)^9-1)/(Dashboard!$B$6-Dashboard!$B$5)),IF(Dashboard!$B$14="LTV per Customer ($)",IF($B30&gt;0,Dashboard!$B$4*IF(Dashboard!$B$5=Dashboard!$B$6,9,((1-Dashboard!$B$5+Dashboard!$B$6)^9-1)/(Dashboard!$B$6-Dashboard!$B$5)),0),"")))))</f>
        <v>0.55958180966503979</v>
      </c>
      <c r="L30" s="3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21"/>
    </row>
    <row r="31" spans="1:38" x14ac:dyDescent="0.35">
      <c r="A31" s="40" t="s">
        <v>113</v>
      </c>
      <c r="B31" s="44">
        <v>1</v>
      </c>
      <c r="C31" s="46">
        <f>IF(Dashboard!$B$14="Retention %",1,IF(Dashboard!$B$14="MRR ($)",$B31*Dashboard!$B$4,IF(Dashboard!$B$14="Churned Customers",0,IF(Dashboard!$B$14="Cumulative Revenue ($)",$B31*Dashboard!$B$4,IF(Dashboard!$B$14="LTV per Customer ($)",IF($B31&gt;0,Dashboard!$B$4,0),"")))))</f>
        <v>1</v>
      </c>
      <c r="D31" s="37">
        <f>IF(Dashboard!$B$14="Retention %",(1-Dashboard!$B$5)^1,IF(Dashboard!$B$14="MRR ($)",$B31*Dashboard!$B$4*(1-Dashboard!$B$5+Dashboard!$B$6)^1,IF(Dashboard!$B$14="Churned Customers",$B31*(1-(1-Dashboard!$B$5)^1),IF(Dashboard!$B$14="Cumulative Revenue ($)",$B31*Dashboard!$B$4*IF(Dashboard!$B$5=Dashboard!$B$6,2,((1-Dashboard!$B$5+Dashboard!$B$6)^2-1)/(Dashboard!$B$6-Dashboard!$B$5)),IF(Dashboard!$B$14="LTV per Customer ($)",IF($B31&gt;0,Dashboard!$B$4*IF(Dashboard!$B$5=Dashboard!$B$6,2,((1-Dashboard!$B$5+Dashboard!$B$6)^2-1)/(Dashboard!$B$6-Dashboard!$B$5)),0),"")))))</f>
        <v>0.92999999999999994</v>
      </c>
      <c r="E31" s="37">
        <f>IF(Dashboard!$B$14="Retention %",(1-Dashboard!$B$5)^2,IF(Dashboard!$B$14="MRR ($)",$B31*Dashboard!$B$4*(1-Dashboard!$B$5+Dashboard!$B$6)^2,IF(Dashboard!$B$14="Churned Customers",$B31*(1-(1-Dashboard!$B$5)^2),IF(Dashboard!$B$14="Cumulative Revenue ($)",$B31*Dashboard!$B$4*IF(Dashboard!$B$5=Dashboard!$B$6,3,((1-Dashboard!$B$5+Dashboard!$B$6)^3-1)/(Dashboard!$B$6-Dashboard!$B$5)),IF(Dashboard!$B$14="LTV per Customer ($)",IF($B31&gt;0,Dashboard!$B$4*IF(Dashboard!$B$5=Dashboard!$B$6,3,((1-Dashboard!$B$5+Dashboard!$B$6)^3-1)/(Dashboard!$B$6-Dashboard!$B$5)),0),"")))))</f>
        <v>0.86489999999999989</v>
      </c>
      <c r="F31" s="37">
        <f>IF(Dashboard!$B$14="Retention %",(1-Dashboard!$B$5)^3,IF(Dashboard!$B$14="MRR ($)",$B31*Dashboard!$B$4*(1-Dashboard!$B$5+Dashboard!$B$6)^3,IF(Dashboard!$B$14="Churned Customers",$B31*(1-(1-Dashboard!$B$5)^3),IF(Dashboard!$B$14="Cumulative Revenue ($)",$B31*Dashboard!$B$4*IF(Dashboard!$B$5=Dashboard!$B$6,4,((1-Dashboard!$B$5+Dashboard!$B$6)^4-1)/(Dashboard!$B$6-Dashboard!$B$5)),IF(Dashboard!$B$14="LTV per Customer ($)",IF($B31&gt;0,Dashboard!$B$4*IF(Dashboard!$B$5=Dashboard!$B$6,4,((1-Dashboard!$B$5+Dashboard!$B$6)^4-1)/(Dashboard!$B$6-Dashboard!$B$5)),0),"")))))</f>
        <v>0.80435699999999988</v>
      </c>
      <c r="G31" s="37">
        <f>IF(Dashboard!$B$14="Retention %",(1-Dashboard!$B$5)^4,IF(Dashboard!$B$14="MRR ($)",$B31*Dashboard!$B$4*(1-Dashboard!$B$5+Dashboard!$B$6)^4,IF(Dashboard!$B$14="Churned Customers",$B31*(1-(1-Dashboard!$B$5)^4),IF(Dashboard!$B$14="Cumulative Revenue ($)",$B31*Dashboard!$B$4*IF(Dashboard!$B$5=Dashboard!$B$6,5,((1-Dashboard!$B$5+Dashboard!$B$6)^5-1)/(Dashboard!$B$6-Dashboard!$B$5)),IF(Dashboard!$B$14="LTV per Customer ($)",IF($B31&gt;0,Dashboard!$B$4*IF(Dashboard!$B$5=Dashboard!$B$6,5,((1-Dashboard!$B$5+Dashboard!$B$6)^5-1)/(Dashboard!$B$6-Dashboard!$B$5)),0),"")))))</f>
        <v>0.74805200999999977</v>
      </c>
      <c r="H31" s="37">
        <f>IF(Dashboard!$B$14="Retention %",(1-Dashboard!$B$5)^5,IF(Dashboard!$B$14="MRR ($)",$B31*Dashboard!$B$4*(1-Dashboard!$B$5+Dashboard!$B$6)^5,IF(Dashboard!$B$14="Churned Customers",$B31*(1-(1-Dashboard!$B$5)^5),IF(Dashboard!$B$14="Cumulative Revenue ($)",$B31*Dashboard!$B$4*IF(Dashboard!$B$5=Dashboard!$B$6,6,((1-Dashboard!$B$5+Dashboard!$B$6)^6-1)/(Dashboard!$B$6-Dashboard!$B$5)),IF(Dashboard!$B$14="LTV per Customer ($)",IF($B31&gt;0,Dashboard!$B$4*IF(Dashboard!$B$5=Dashboard!$B$6,6,((1-Dashboard!$B$5+Dashboard!$B$6)^6-1)/(Dashboard!$B$6-Dashboard!$B$5)),0),"")))))</f>
        <v>0.69568836929999978</v>
      </c>
      <c r="I31" s="37">
        <f>IF(Dashboard!$B$14="Retention %",(1-Dashboard!$B$5)^6,IF(Dashboard!$B$14="MRR ($)",$B31*Dashboard!$B$4*(1-Dashboard!$B$5+Dashboard!$B$6)^6,IF(Dashboard!$B$14="Churned Customers",$B31*(1-(1-Dashboard!$B$5)^6),IF(Dashboard!$B$14="Cumulative Revenue ($)",$B31*Dashboard!$B$4*IF(Dashboard!$B$5=Dashboard!$B$6,7,((1-Dashboard!$B$5+Dashboard!$B$6)^7-1)/(Dashboard!$B$6-Dashboard!$B$5)),IF(Dashboard!$B$14="LTV per Customer ($)",IF($B31&gt;0,Dashboard!$B$4*IF(Dashboard!$B$5=Dashboard!$B$6,7,((1-Dashboard!$B$5+Dashboard!$B$6)^7-1)/(Dashboard!$B$6-Dashboard!$B$5)),0),"")))))</f>
        <v>0.64699018344899972</v>
      </c>
      <c r="J31" s="37">
        <f>IF(Dashboard!$B$14="Retention %",(1-Dashboard!$B$5)^7,IF(Dashboard!$B$14="MRR ($)",$B31*Dashboard!$B$4*(1-Dashboard!$B$5+Dashboard!$B$6)^7,IF(Dashboard!$B$14="Churned Customers",$B31*(1-(1-Dashboard!$B$5)^7),IF(Dashboard!$B$14="Cumulative Revenue ($)",$B31*Dashboard!$B$4*IF(Dashboard!$B$5=Dashboard!$B$6,8,((1-Dashboard!$B$5+Dashboard!$B$6)^8-1)/(Dashboard!$B$6-Dashboard!$B$5)),IF(Dashboard!$B$14="LTV per Customer ($)",IF($B31&gt;0,Dashboard!$B$4*IF(Dashboard!$B$5=Dashboard!$B$6,8,((1-Dashboard!$B$5+Dashboard!$B$6)^8-1)/(Dashboard!$B$6-Dashboard!$B$5)),0),"")))))</f>
        <v>0.60170087060756972</v>
      </c>
      <c r="K31" s="37"/>
      <c r="L31" s="3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22"/>
    </row>
    <row r="32" spans="1:38" x14ac:dyDescent="0.35">
      <c r="A32" s="40" t="s">
        <v>114</v>
      </c>
      <c r="B32" s="44">
        <v>1</v>
      </c>
      <c r="C32" s="46">
        <f>IF(Dashboard!$B$14="Retention %",1,IF(Dashboard!$B$14="MRR ($)",$B32*Dashboard!$B$4,IF(Dashboard!$B$14="Churned Customers",0,IF(Dashboard!$B$14="Cumulative Revenue ($)",$B32*Dashboard!$B$4,IF(Dashboard!$B$14="LTV per Customer ($)",IF($B32&gt;0,Dashboard!$B$4,0),"")))))</f>
        <v>1</v>
      </c>
      <c r="D32" s="36">
        <f>IF(Dashboard!$B$14="Retention %",(1-Dashboard!$B$5)^1,IF(Dashboard!$B$14="MRR ($)",$B32*Dashboard!$B$4*(1-Dashboard!$B$5+Dashboard!$B$6)^1,IF(Dashboard!$B$14="Churned Customers",$B32*(1-(1-Dashboard!$B$5)^1),IF(Dashboard!$B$14="Cumulative Revenue ($)",$B32*Dashboard!$B$4*IF(Dashboard!$B$5=Dashboard!$B$6,2,((1-Dashboard!$B$5+Dashboard!$B$6)^2-1)/(Dashboard!$B$6-Dashboard!$B$5)),IF(Dashboard!$B$14="LTV per Customer ($)",IF($B32&gt;0,Dashboard!$B$4*IF(Dashboard!$B$5=Dashboard!$B$6,2,((1-Dashboard!$B$5+Dashboard!$B$6)^2-1)/(Dashboard!$B$6-Dashboard!$B$5)),0),"")))))</f>
        <v>0.92999999999999994</v>
      </c>
      <c r="E32" s="36">
        <f>IF(Dashboard!$B$14="Retention %",(1-Dashboard!$B$5)^2,IF(Dashboard!$B$14="MRR ($)",$B32*Dashboard!$B$4*(1-Dashboard!$B$5+Dashboard!$B$6)^2,IF(Dashboard!$B$14="Churned Customers",$B32*(1-(1-Dashboard!$B$5)^2),IF(Dashboard!$B$14="Cumulative Revenue ($)",$B32*Dashboard!$B$4*IF(Dashboard!$B$5=Dashboard!$B$6,3,((1-Dashboard!$B$5+Dashboard!$B$6)^3-1)/(Dashboard!$B$6-Dashboard!$B$5)),IF(Dashboard!$B$14="LTV per Customer ($)",IF($B32&gt;0,Dashboard!$B$4*IF(Dashboard!$B$5=Dashboard!$B$6,3,((1-Dashboard!$B$5+Dashboard!$B$6)^3-1)/(Dashboard!$B$6-Dashboard!$B$5)),0),"")))))</f>
        <v>0.86489999999999989</v>
      </c>
      <c r="F32" s="36">
        <f>IF(Dashboard!$B$14="Retention %",(1-Dashboard!$B$5)^3,IF(Dashboard!$B$14="MRR ($)",$B32*Dashboard!$B$4*(1-Dashboard!$B$5+Dashboard!$B$6)^3,IF(Dashboard!$B$14="Churned Customers",$B32*(1-(1-Dashboard!$B$5)^3),IF(Dashboard!$B$14="Cumulative Revenue ($)",$B32*Dashboard!$B$4*IF(Dashboard!$B$5=Dashboard!$B$6,4,((1-Dashboard!$B$5+Dashboard!$B$6)^4-1)/(Dashboard!$B$6-Dashboard!$B$5)),IF(Dashboard!$B$14="LTV per Customer ($)",IF($B32&gt;0,Dashboard!$B$4*IF(Dashboard!$B$5=Dashboard!$B$6,4,((1-Dashboard!$B$5+Dashboard!$B$6)^4-1)/(Dashboard!$B$6-Dashboard!$B$5)),0),"")))))</f>
        <v>0.80435699999999988</v>
      </c>
      <c r="G32" s="36">
        <f>IF(Dashboard!$B$14="Retention %",(1-Dashboard!$B$5)^4,IF(Dashboard!$B$14="MRR ($)",$B32*Dashboard!$B$4*(1-Dashboard!$B$5+Dashboard!$B$6)^4,IF(Dashboard!$B$14="Churned Customers",$B32*(1-(1-Dashboard!$B$5)^4),IF(Dashboard!$B$14="Cumulative Revenue ($)",$B32*Dashboard!$B$4*IF(Dashboard!$B$5=Dashboard!$B$6,5,((1-Dashboard!$B$5+Dashboard!$B$6)^5-1)/(Dashboard!$B$6-Dashboard!$B$5)),IF(Dashboard!$B$14="LTV per Customer ($)",IF($B32&gt;0,Dashboard!$B$4*IF(Dashboard!$B$5=Dashboard!$B$6,5,((1-Dashboard!$B$5+Dashboard!$B$6)^5-1)/(Dashboard!$B$6-Dashboard!$B$5)),0),"")))))</f>
        <v>0.74805200999999977</v>
      </c>
      <c r="H32" s="36">
        <f>IF(Dashboard!$B$14="Retention %",(1-Dashboard!$B$5)^5,IF(Dashboard!$B$14="MRR ($)",$B32*Dashboard!$B$4*(1-Dashboard!$B$5+Dashboard!$B$6)^5,IF(Dashboard!$B$14="Churned Customers",$B32*(1-(1-Dashboard!$B$5)^5),IF(Dashboard!$B$14="Cumulative Revenue ($)",$B32*Dashboard!$B$4*IF(Dashboard!$B$5=Dashboard!$B$6,6,((1-Dashboard!$B$5+Dashboard!$B$6)^6-1)/(Dashboard!$B$6-Dashboard!$B$5)),IF(Dashboard!$B$14="LTV per Customer ($)",IF($B32&gt;0,Dashboard!$B$4*IF(Dashboard!$B$5=Dashboard!$B$6,6,((1-Dashboard!$B$5+Dashboard!$B$6)^6-1)/(Dashboard!$B$6-Dashboard!$B$5)),0),"")))))</f>
        <v>0.69568836929999978</v>
      </c>
      <c r="I32" s="36">
        <f>IF(Dashboard!$B$14="Retention %",(1-Dashboard!$B$5)^6,IF(Dashboard!$B$14="MRR ($)",$B32*Dashboard!$B$4*(1-Dashboard!$B$5+Dashboard!$B$6)^6,IF(Dashboard!$B$14="Churned Customers",$B32*(1-(1-Dashboard!$B$5)^6),IF(Dashboard!$B$14="Cumulative Revenue ($)",$B32*Dashboard!$B$4*IF(Dashboard!$B$5=Dashboard!$B$6,7,((1-Dashboard!$B$5+Dashboard!$B$6)^7-1)/(Dashboard!$B$6-Dashboard!$B$5)),IF(Dashboard!$B$14="LTV per Customer ($)",IF($B32&gt;0,Dashboard!$B$4*IF(Dashboard!$B$5=Dashboard!$B$6,7,((1-Dashboard!$B$5+Dashboard!$B$6)^7-1)/(Dashboard!$B$6-Dashboard!$B$5)),0),"")))))</f>
        <v>0.64699018344899972</v>
      </c>
      <c r="J32" s="36"/>
      <c r="K32" s="36"/>
      <c r="L32" s="3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21"/>
    </row>
    <row r="33" spans="1:38" x14ac:dyDescent="0.35">
      <c r="A33" s="40" t="s">
        <v>115</v>
      </c>
      <c r="B33" s="44">
        <v>1</v>
      </c>
      <c r="C33" s="46">
        <f>IF(Dashboard!$B$14="Retention %",1,IF(Dashboard!$B$14="MRR ($)",$B33*Dashboard!$B$4,IF(Dashboard!$B$14="Churned Customers",0,IF(Dashboard!$B$14="Cumulative Revenue ($)",$B33*Dashboard!$B$4,IF(Dashboard!$B$14="LTV per Customer ($)",IF($B33&gt;0,Dashboard!$B$4,0),"")))))</f>
        <v>1</v>
      </c>
      <c r="D33" s="37">
        <f>IF(Dashboard!$B$14="Retention %",(1-Dashboard!$B$5)^1,IF(Dashboard!$B$14="MRR ($)",$B33*Dashboard!$B$4*(1-Dashboard!$B$5+Dashboard!$B$6)^1,IF(Dashboard!$B$14="Churned Customers",$B33*(1-(1-Dashboard!$B$5)^1),IF(Dashboard!$B$14="Cumulative Revenue ($)",$B33*Dashboard!$B$4*IF(Dashboard!$B$5=Dashboard!$B$6,2,((1-Dashboard!$B$5+Dashboard!$B$6)^2-1)/(Dashboard!$B$6-Dashboard!$B$5)),IF(Dashboard!$B$14="LTV per Customer ($)",IF($B33&gt;0,Dashboard!$B$4*IF(Dashboard!$B$5=Dashboard!$B$6,2,((1-Dashboard!$B$5+Dashboard!$B$6)^2-1)/(Dashboard!$B$6-Dashboard!$B$5)),0),"")))))</f>
        <v>0.92999999999999994</v>
      </c>
      <c r="E33" s="37">
        <f>IF(Dashboard!$B$14="Retention %",(1-Dashboard!$B$5)^2,IF(Dashboard!$B$14="MRR ($)",$B33*Dashboard!$B$4*(1-Dashboard!$B$5+Dashboard!$B$6)^2,IF(Dashboard!$B$14="Churned Customers",$B33*(1-(1-Dashboard!$B$5)^2),IF(Dashboard!$B$14="Cumulative Revenue ($)",$B33*Dashboard!$B$4*IF(Dashboard!$B$5=Dashboard!$B$6,3,((1-Dashboard!$B$5+Dashboard!$B$6)^3-1)/(Dashboard!$B$6-Dashboard!$B$5)),IF(Dashboard!$B$14="LTV per Customer ($)",IF($B33&gt;0,Dashboard!$B$4*IF(Dashboard!$B$5=Dashboard!$B$6,3,((1-Dashboard!$B$5+Dashboard!$B$6)^3-1)/(Dashboard!$B$6-Dashboard!$B$5)),0),"")))))</f>
        <v>0.86489999999999989</v>
      </c>
      <c r="F33" s="37">
        <f>IF(Dashboard!$B$14="Retention %",(1-Dashboard!$B$5)^3,IF(Dashboard!$B$14="MRR ($)",$B33*Dashboard!$B$4*(1-Dashboard!$B$5+Dashboard!$B$6)^3,IF(Dashboard!$B$14="Churned Customers",$B33*(1-(1-Dashboard!$B$5)^3),IF(Dashboard!$B$14="Cumulative Revenue ($)",$B33*Dashboard!$B$4*IF(Dashboard!$B$5=Dashboard!$B$6,4,((1-Dashboard!$B$5+Dashboard!$B$6)^4-1)/(Dashboard!$B$6-Dashboard!$B$5)),IF(Dashboard!$B$14="LTV per Customer ($)",IF($B33&gt;0,Dashboard!$B$4*IF(Dashboard!$B$5=Dashboard!$B$6,4,((1-Dashboard!$B$5+Dashboard!$B$6)^4-1)/(Dashboard!$B$6-Dashboard!$B$5)),0),"")))))</f>
        <v>0.80435699999999988</v>
      </c>
      <c r="G33" s="37">
        <f>IF(Dashboard!$B$14="Retention %",(1-Dashboard!$B$5)^4,IF(Dashboard!$B$14="MRR ($)",$B33*Dashboard!$B$4*(1-Dashboard!$B$5+Dashboard!$B$6)^4,IF(Dashboard!$B$14="Churned Customers",$B33*(1-(1-Dashboard!$B$5)^4),IF(Dashboard!$B$14="Cumulative Revenue ($)",$B33*Dashboard!$B$4*IF(Dashboard!$B$5=Dashboard!$B$6,5,((1-Dashboard!$B$5+Dashboard!$B$6)^5-1)/(Dashboard!$B$6-Dashboard!$B$5)),IF(Dashboard!$B$14="LTV per Customer ($)",IF($B33&gt;0,Dashboard!$B$4*IF(Dashboard!$B$5=Dashboard!$B$6,5,((1-Dashboard!$B$5+Dashboard!$B$6)^5-1)/(Dashboard!$B$6-Dashboard!$B$5)),0),"")))))</f>
        <v>0.74805200999999977</v>
      </c>
      <c r="H33" s="37">
        <f>IF(Dashboard!$B$14="Retention %",(1-Dashboard!$B$5)^5,IF(Dashboard!$B$14="MRR ($)",$B33*Dashboard!$B$4*(1-Dashboard!$B$5+Dashboard!$B$6)^5,IF(Dashboard!$B$14="Churned Customers",$B33*(1-(1-Dashboard!$B$5)^5),IF(Dashboard!$B$14="Cumulative Revenue ($)",$B33*Dashboard!$B$4*IF(Dashboard!$B$5=Dashboard!$B$6,6,((1-Dashboard!$B$5+Dashboard!$B$6)^6-1)/(Dashboard!$B$6-Dashboard!$B$5)),IF(Dashboard!$B$14="LTV per Customer ($)",IF($B33&gt;0,Dashboard!$B$4*IF(Dashboard!$B$5=Dashboard!$B$6,6,((1-Dashboard!$B$5+Dashboard!$B$6)^6-1)/(Dashboard!$B$6-Dashboard!$B$5)),0),"")))))</f>
        <v>0.69568836929999978</v>
      </c>
      <c r="I33" s="37"/>
      <c r="J33" s="37"/>
      <c r="K33" s="37"/>
      <c r="L33" s="3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22"/>
    </row>
    <row r="34" spans="1:38" x14ac:dyDescent="0.35">
      <c r="A34" s="40" t="s">
        <v>116</v>
      </c>
      <c r="B34" s="44">
        <v>1</v>
      </c>
      <c r="C34" s="46">
        <f>IF(Dashboard!$B$14="Retention %",1,IF(Dashboard!$B$14="MRR ($)",$B34*Dashboard!$B$4,IF(Dashboard!$B$14="Churned Customers",0,IF(Dashboard!$B$14="Cumulative Revenue ($)",$B34*Dashboard!$B$4,IF(Dashboard!$B$14="LTV per Customer ($)",IF($B34&gt;0,Dashboard!$B$4,0),"")))))</f>
        <v>1</v>
      </c>
      <c r="D34" s="36">
        <f>IF(Dashboard!$B$14="Retention %",(1-Dashboard!$B$5)^1,IF(Dashboard!$B$14="MRR ($)",$B34*Dashboard!$B$4*(1-Dashboard!$B$5+Dashboard!$B$6)^1,IF(Dashboard!$B$14="Churned Customers",$B34*(1-(1-Dashboard!$B$5)^1),IF(Dashboard!$B$14="Cumulative Revenue ($)",$B34*Dashboard!$B$4*IF(Dashboard!$B$5=Dashboard!$B$6,2,((1-Dashboard!$B$5+Dashboard!$B$6)^2-1)/(Dashboard!$B$6-Dashboard!$B$5)),IF(Dashboard!$B$14="LTV per Customer ($)",IF($B34&gt;0,Dashboard!$B$4*IF(Dashboard!$B$5=Dashboard!$B$6,2,((1-Dashboard!$B$5+Dashboard!$B$6)^2-1)/(Dashboard!$B$6-Dashboard!$B$5)),0),"")))))</f>
        <v>0.92999999999999994</v>
      </c>
      <c r="E34" s="36">
        <f>IF(Dashboard!$B$14="Retention %",(1-Dashboard!$B$5)^2,IF(Dashboard!$B$14="MRR ($)",$B34*Dashboard!$B$4*(1-Dashboard!$B$5+Dashboard!$B$6)^2,IF(Dashboard!$B$14="Churned Customers",$B34*(1-(1-Dashboard!$B$5)^2),IF(Dashboard!$B$14="Cumulative Revenue ($)",$B34*Dashboard!$B$4*IF(Dashboard!$B$5=Dashboard!$B$6,3,((1-Dashboard!$B$5+Dashboard!$B$6)^3-1)/(Dashboard!$B$6-Dashboard!$B$5)),IF(Dashboard!$B$14="LTV per Customer ($)",IF($B34&gt;0,Dashboard!$B$4*IF(Dashboard!$B$5=Dashboard!$B$6,3,((1-Dashboard!$B$5+Dashboard!$B$6)^3-1)/(Dashboard!$B$6-Dashboard!$B$5)),0),"")))))</f>
        <v>0.86489999999999989</v>
      </c>
      <c r="F34" s="36">
        <f>IF(Dashboard!$B$14="Retention %",(1-Dashboard!$B$5)^3,IF(Dashboard!$B$14="MRR ($)",$B34*Dashboard!$B$4*(1-Dashboard!$B$5+Dashboard!$B$6)^3,IF(Dashboard!$B$14="Churned Customers",$B34*(1-(1-Dashboard!$B$5)^3),IF(Dashboard!$B$14="Cumulative Revenue ($)",$B34*Dashboard!$B$4*IF(Dashboard!$B$5=Dashboard!$B$6,4,((1-Dashboard!$B$5+Dashboard!$B$6)^4-1)/(Dashboard!$B$6-Dashboard!$B$5)),IF(Dashboard!$B$14="LTV per Customer ($)",IF($B34&gt;0,Dashboard!$B$4*IF(Dashboard!$B$5=Dashboard!$B$6,4,((1-Dashboard!$B$5+Dashboard!$B$6)^4-1)/(Dashboard!$B$6-Dashboard!$B$5)),0),"")))))</f>
        <v>0.80435699999999988</v>
      </c>
      <c r="G34" s="36">
        <f>IF(Dashboard!$B$14="Retention %",(1-Dashboard!$B$5)^4,IF(Dashboard!$B$14="MRR ($)",$B34*Dashboard!$B$4*(1-Dashboard!$B$5+Dashboard!$B$6)^4,IF(Dashboard!$B$14="Churned Customers",$B34*(1-(1-Dashboard!$B$5)^4),IF(Dashboard!$B$14="Cumulative Revenue ($)",$B34*Dashboard!$B$4*IF(Dashboard!$B$5=Dashboard!$B$6,5,((1-Dashboard!$B$5+Dashboard!$B$6)^5-1)/(Dashboard!$B$6-Dashboard!$B$5)),IF(Dashboard!$B$14="LTV per Customer ($)",IF($B34&gt;0,Dashboard!$B$4*IF(Dashboard!$B$5=Dashboard!$B$6,5,((1-Dashboard!$B$5+Dashboard!$B$6)^5-1)/(Dashboard!$B$6-Dashboard!$B$5)),0),"")))))</f>
        <v>0.74805200999999977</v>
      </c>
      <c r="H34" s="36"/>
      <c r="I34" s="36"/>
      <c r="J34" s="36"/>
      <c r="K34" s="36"/>
      <c r="L34" s="3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21"/>
    </row>
    <row r="35" spans="1:38" x14ac:dyDescent="0.35">
      <c r="A35" s="40" t="s">
        <v>117</v>
      </c>
      <c r="B35" s="44">
        <v>1</v>
      </c>
      <c r="C35" s="46">
        <f>IF(Dashboard!$B$14="Retention %",1,IF(Dashboard!$B$14="MRR ($)",$B35*Dashboard!$B$4,IF(Dashboard!$B$14="Churned Customers",0,IF(Dashboard!$B$14="Cumulative Revenue ($)",$B35*Dashboard!$B$4,IF(Dashboard!$B$14="LTV per Customer ($)",IF($B35&gt;0,Dashboard!$B$4,0),"")))))</f>
        <v>1</v>
      </c>
      <c r="D35" s="37">
        <f>IF(Dashboard!$B$14="Retention %",(1-Dashboard!$B$5)^1,IF(Dashboard!$B$14="MRR ($)",$B35*Dashboard!$B$4*(1-Dashboard!$B$5+Dashboard!$B$6)^1,IF(Dashboard!$B$14="Churned Customers",$B35*(1-(1-Dashboard!$B$5)^1),IF(Dashboard!$B$14="Cumulative Revenue ($)",$B35*Dashboard!$B$4*IF(Dashboard!$B$5=Dashboard!$B$6,2,((1-Dashboard!$B$5+Dashboard!$B$6)^2-1)/(Dashboard!$B$6-Dashboard!$B$5)),IF(Dashboard!$B$14="LTV per Customer ($)",IF($B35&gt;0,Dashboard!$B$4*IF(Dashboard!$B$5=Dashboard!$B$6,2,((1-Dashboard!$B$5+Dashboard!$B$6)^2-1)/(Dashboard!$B$6-Dashboard!$B$5)),0),"")))))</f>
        <v>0.92999999999999994</v>
      </c>
      <c r="E35" s="37">
        <f>IF(Dashboard!$B$14="Retention %",(1-Dashboard!$B$5)^2,IF(Dashboard!$B$14="MRR ($)",$B35*Dashboard!$B$4*(1-Dashboard!$B$5+Dashboard!$B$6)^2,IF(Dashboard!$B$14="Churned Customers",$B35*(1-(1-Dashboard!$B$5)^2),IF(Dashboard!$B$14="Cumulative Revenue ($)",$B35*Dashboard!$B$4*IF(Dashboard!$B$5=Dashboard!$B$6,3,((1-Dashboard!$B$5+Dashboard!$B$6)^3-1)/(Dashboard!$B$6-Dashboard!$B$5)),IF(Dashboard!$B$14="LTV per Customer ($)",IF($B35&gt;0,Dashboard!$B$4*IF(Dashboard!$B$5=Dashboard!$B$6,3,((1-Dashboard!$B$5+Dashboard!$B$6)^3-1)/(Dashboard!$B$6-Dashboard!$B$5)),0),"")))))</f>
        <v>0.86489999999999989</v>
      </c>
      <c r="F35" s="37">
        <f>IF(Dashboard!$B$14="Retention %",(1-Dashboard!$B$5)^3,IF(Dashboard!$B$14="MRR ($)",$B35*Dashboard!$B$4*(1-Dashboard!$B$5+Dashboard!$B$6)^3,IF(Dashboard!$B$14="Churned Customers",$B35*(1-(1-Dashboard!$B$5)^3),IF(Dashboard!$B$14="Cumulative Revenue ($)",$B35*Dashboard!$B$4*IF(Dashboard!$B$5=Dashboard!$B$6,4,((1-Dashboard!$B$5+Dashboard!$B$6)^4-1)/(Dashboard!$B$6-Dashboard!$B$5)),IF(Dashboard!$B$14="LTV per Customer ($)",IF($B35&gt;0,Dashboard!$B$4*IF(Dashboard!$B$5=Dashboard!$B$6,4,((1-Dashboard!$B$5+Dashboard!$B$6)^4-1)/(Dashboard!$B$6-Dashboard!$B$5)),0),"")))))</f>
        <v>0.80435699999999988</v>
      </c>
      <c r="G35" s="37"/>
      <c r="H35" s="37"/>
      <c r="I35" s="37"/>
      <c r="J35" s="37"/>
      <c r="K35" s="37"/>
      <c r="L35" s="3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22"/>
    </row>
    <row r="36" spans="1:38" x14ac:dyDescent="0.35">
      <c r="A36" s="40" t="s">
        <v>118</v>
      </c>
      <c r="B36" s="44">
        <v>1</v>
      </c>
      <c r="C36" s="46">
        <f>IF(Dashboard!$B$14="Retention %",1,IF(Dashboard!$B$14="MRR ($)",$B36*Dashboard!$B$4,IF(Dashboard!$B$14="Churned Customers",0,IF(Dashboard!$B$14="Cumulative Revenue ($)",$B36*Dashboard!$B$4,IF(Dashboard!$B$14="LTV per Customer ($)",IF($B36&gt;0,Dashboard!$B$4,0),"")))))</f>
        <v>1</v>
      </c>
      <c r="D36" s="36">
        <f>IF(Dashboard!$B$14="Retention %",(1-Dashboard!$B$5)^1,IF(Dashboard!$B$14="MRR ($)",$B36*Dashboard!$B$4*(1-Dashboard!$B$5+Dashboard!$B$6)^1,IF(Dashboard!$B$14="Churned Customers",$B36*(1-(1-Dashboard!$B$5)^1),IF(Dashboard!$B$14="Cumulative Revenue ($)",$B36*Dashboard!$B$4*IF(Dashboard!$B$5=Dashboard!$B$6,2,((1-Dashboard!$B$5+Dashboard!$B$6)^2-1)/(Dashboard!$B$6-Dashboard!$B$5)),IF(Dashboard!$B$14="LTV per Customer ($)",IF($B36&gt;0,Dashboard!$B$4*IF(Dashboard!$B$5=Dashboard!$B$6,2,((1-Dashboard!$B$5+Dashboard!$B$6)^2-1)/(Dashboard!$B$6-Dashboard!$B$5)),0),"")))))</f>
        <v>0.92999999999999994</v>
      </c>
      <c r="E36" s="36">
        <f>IF(Dashboard!$B$14="Retention %",(1-Dashboard!$B$5)^2,IF(Dashboard!$B$14="MRR ($)",$B36*Dashboard!$B$4*(1-Dashboard!$B$5+Dashboard!$B$6)^2,IF(Dashboard!$B$14="Churned Customers",$B36*(1-(1-Dashboard!$B$5)^2),IF(Dashboard!$B$14="Cumulative Revenue ($)",$B36*Dashboard!$B$4*IF(Dashboard!$B$5=Dashboard!$B$6,3,((1-Dashboard!$B$5+Dashboard!$B$6)^3-1)/(Dashboard!$B$6-Dashboard!$B$5)),IF(Dashboard!$B$14="LTV per Customer ($)",IF($B36&gt;0,Dashboard!$B$4*IF(Dashboard!$B$5=Dashboard!$B$6,3,((1-Dashboard!$B$5+Dashboard!$B$6)^3-1)/(Dashboard!$B$6-Dashboard!$B$5)),0),"")))))</f>
        <v>0.86489999999999989</v>
      </c>
      <c r="F36" s="36"/>
      <c r="G36" s="36"/>
      <c r="H36" s="36"/>
      <c r="I36" s="36"/>
      <c r="J36" s="36"/>
      <c r="K36" s="36"/>
      <c r="L36" s="3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21"/>
    </row>
    <row r="37" spans="1:38" x14ac:dyDescent="0.35">
      <c r="A37" s="40" t="s">
        <v>119</v>
      </c>
      <c r="B37" s="44">
        <v>1</v>
      </c>
      <c r="C37" s="46">
        <f>IF(Dashboard!$B$14="Retention %",1,IF(Dashboard!$B$14="MRR ($)",$B37*Dashboard!$B$4,IF(Dashboard!$B$14="Churned Customers",0,IF(Dashboard!$B$14="Cumulative Revenue ($)",$B37*Dashboard!$B$4,IF(Dashboard!$B$14="LTV per Customer ($)",IF($B37&gt;0,Dashboard!$B$4,0),"")))))</f>
        <v>1</v>
      </c>
      <c r="D37" s="37">
        <f>IF(Dashboard!$B$14="Retention %",(1-Dashboard!$B$5)^1,IF(Dashboard!$B$14="MRR ($)",$B37*Dashboard!$B$4*(1-Dashboard!$B$5+Dashboard!$B$6)^1,IF(Dashboard!$B$14="Churned Customers",$B37*(1-(1-Dashboard!$B$5)^1),IF(Dashboard!$B$14="Cumulative Revenue ($)",$B37*Dashboard!$B$4*IF(Dashboard!$B$5=Dashboard!$B$6,2,((1-Dashboard!$B$5+Dashboard!$B$6)^2-1)/(Dashboard!$B$6-Dashboard!$B$5)),IF(Dashboard!$B$14="LTV per Customer ($)",IF($B37&gt;0,Dashboard!$B$4*IF(Dashboard!$B$5=Dashboard!$B$6,2,((1-Dashboard!$B$5+Dashboard!$B$6)^2-1)/(Dashboard!$B$6-Dashboard!$B$5)),0),"")))))</f>
        <v>0.92999999999999994</v>
      </c>
      <c r="E37" s="37"/>
      <c r="F37" s="37"/>
      <c r="G37" s="37"/>
      <c r="H37" s="37"/>
      <c r="I37" s="37"/>
      <c r="J37" s="37"/>
      <c r="K37" s="37"/>
      <c r="L37" s="3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22"/>
    </row>
    <row r="38" spans="1:38" x14ac:dyDescent="0.35">
      <c r="A38" s="40" t="s">
        <v>120</v>
      </c>
      <c r="B38" s="45">
        <v>0</v>
      </c>
      <c r="C38" s="47">
        <f>IF(Dashboard!$B$14="Retention %",1,IF(Dashboard!$B$14="MRR ($)",$B38*Dashboard!$B$4,IF(Dashboard!$B$14="Churned Customers",0,IF(Dashboard!$B$14="Cumulative Revenue ($)",$B38*Dashboard!$B$4,IF(Dashboard!$B$14="LTV per Customer ($)",IF($B38&gt;0,Dashboard!$B$4,0),"")))))</f>
        <v>1</v>
      </c>
      <c r="D38" s="38"/>
      <c r="E38" s="38"/>
      <c r="F38" s="38"/>
      <c r="G38" s="38"/>
      <c r="H38" s="38"/>
      <c r="I38" s="38"/>
      <c r="J38" s="38"/>
      <c r="K38" s="38"/>
      <c r="L38" s="38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3"/>
    </row>
    <row r="39" spans="1:38" x14ac:dyDescent="0.35">
      <c r="A39" s="41" t="s">
        <v>62</v>
      </c>
      <c r="B39" s="41">
        <f t="shared" ref="B39:AL39" si="0">SUM(B3:B38)</f>
        <v>50</v>
      </c>
      <c r="C39" s="42">
        <f t="shared" si="0"/>
        <v>36</v>
      </c>
      <c r="D39" s="42">
        <f t="shared" si="0"/>
        <v>32.549999999999997</v>
      </c>
      <c r="E39" s="42">
        <f t="shared" si="0"/>
        <v>29.40659999999998</v>
      </c>
      <c r="F39" s="42">
        <f t="shared" si="0"/>
        <v>26.543780999999989</v>
      </c>
      <c r="G39" s="42">
        <f t="shared" si="0"/>
        <v>23.937664319999985</v>
      </c>
      <c r="H39" s="42">
        <f t="shared" si="0"/>
        <v>21.566339448299995</v>
      </c>
      <c r="I39" s="42">
        <f t="shared" si="0"/>
        <v>19.409705503469976</v>
      </c>
      <c r="J39" s="42">
        <f t="shared" si="0"/>
        <v>17.449325247619512</v>
      </c>
      <c r="K39" s="42">
        <f t="shared" si="0"/>
        <v>15.66829067062112</v>
      </c>
      <c r="L39" s="42">
        <f t="shared" si="0"/>
        <v>14.051099240689139</v>
      </c>
      <c r="M39" s="42">
        <f t="shared" si="0"/>
        <v>12.583539986661615</v>
      </c>
      <c r="N39" s="42">
        <f t="shared" si="0"/>
        <v>11.252588641918551</v>
      </c>
      <c r="O39" s="42">
        <f t="shared" si="0"/>
        <v>10.046311139504883</v>
      </c>
      <c r="P39" s="42">
        <f t="shared" si="0"/>
        <v>8.9537748030837303</v>
      </c>
      <c r="Q39" s="42">
        <f t="shared" si="0"/>
        <v>7.9649666291779573</v>
      </c>
      <c r="R39" s="42">
        <f t="shared" si="0"/>
        <v>7.0707181030838875</v>
      </c>
      <c r="S39" s="42">
        <f t="shared" si="0"/>
        <v>6.2626360341600149</v>
      </c>
      <c r="T39" s="42">
        <f t="shared" si="0"/>
        <v>5.5330389361803736</v>
      </c>
      <c r="U39" s="42">
        <f t="shared" si="0"/>
        <v>4.8748985153504965</v>
      </c>
      <c r="V39" s="42">
        <f t="shared" si="0"/>
        <v>4.2817858626495218</v>
      </c>
      <c r="W39" s="42">
        <f t="shared" si="0"/>
        <v>3.747821978601463</v>
      </c>
      <c r="X39" s="42">
        <f t="shared" si="0"/>
        <v>3.2676322875931496</v>
      </c>
      <c r="Y39" s="42">
        <f t="shared" si="0"/>
        <v>2.8363048256308545</v>
      </c>
      <c r="Z39" s="42">
        <f t="shared" si="0"/>
        <v>2.4493518101340728</v>
      </c>
      <c r="AA39" s="42">
        <f t="shared" si="0"/>
        <v>2.1026743231612506</v>
      </c>
      <c r="AB39" s="42">
        <f t="shared" si="0"/>
        <v>1.7925298604949655</v>
      </c>
      <c r="AC39" s="42">
        <f t="shared" si="0"/>
        <v>1.5155025184184703</v>
      </c>
      <c r="AD39" s="42">
        <f t="shared" si="0"/>
        <v>1.2684756079162598</v>
      </c>
      <c r="AE39" s="42">
        <f t="shared" si="0"/>
        <v>1.048606502544108</v>
      </c>
      <c r="AF39" s="42">
        <f t="shared" si="0"/>
        <v>0.85330354144526777</v>
      </c>
      <c r="AG39" s="42">
        <f t="shared" si="0"/>
        <v>0.68020482303779928</v>
      </c>
      <c r="AH39" s="42">
        <f t="shared" si="0"/>
        <v>0.52715873785429435</v>
      </c>
      <c r="AI39" s="42">
        <f t="shared" si="0"/>
        <v>0.39220610096359498</v>
      </c>
      <c r="AJ39" s="42">
        <f t="shared" si="0"/>
        <v>0.27356375542210748</v>
      </c>
      <c r="AK39" s="42">
        <f t="shared" si="0"/>
        <v>0.16960952836170662</v>
      </c>
      <c r="AL39" s="42">
        <f t="shared" si="0"/>
        <v>7.8868430688193575E-2</v>
      </c>
    </row>
  </sheetData>
  <conditionalFormatting sqref="C3:AL38">
    <cfRule type="colorScale" priority="3">
      <colorScale>
        <cfvo type="min"/>
        <cfvo type="percentile" val="50"/>
        <cfvo type="max"/>
        <color rgb="FFFFFFFF"/>
        <color rgb="FFB4D4E7"/>
        <color rgb="FF1B3A5C"/>
      </colorScale>
    </cfRule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4D77-BFC0-4270-A0A2-38F36487D980}">
  <dimension ref="A1:AN4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1" sqref="H11"/>
    </sheetView>
  </sheetViews>
  <sheetFormatPr baseColWidth="10" defaultColWidth="8.81640625" defaultRowHeight="14.5" x14ac:dyDescent="0.35"/>
  <cols>
    <col min="1" max="1" width="17.453125" customWidth="1"/>
    <col min="2" max="2" width="10.1796875" customWidth="1"/>
    <col min="3" max="3" width="13" customWidth="1"/>
    <col min="4" max="39" width="11.453125" customWidth="1"/>
    <col min="40" max="40" width="13.81640625" customWidth="1"/>
  </cols>
  <sheetData>
    <row r="1" spans="1:40" ht="30" customHeight="1" x14ac:dyDescent="0.45">
      <c r="A1" s="51" t="s">
        <v>79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2"/>
      <c r="AN1" s="52"/>
    </row>
    <row r="2" spans="1:40" ht="15" thickBot="1" x14ac:dyDescent="0.4">
      <c r="A2" s="53" t="s">
        <v>24</v>
      </c>
      <c r="B2" s="54" t="s">
        <v>80</v>
      </c>
      <c r="C2" s="54" t="s">
        <v>81</v>
      </c>
      <c r="D2" s="55" t="s">
        <v>121</v>
      </c>
      <c r="E2" s="55" t="s">
        <v>122</v>
      </c>
      <c r="F2" s="55" t="s">
        <v>123</v>
      </c>
      <c r="G2" s="55" t="s">
        <v>124</v>
      </c>
      <c r="H2" s="55" t="s">
        <v>125</v>
      </c>
      <c r="I2" s="55" t="s">
        <v>126</v>
      </c>
      <c r="J2" s="55" t="s">
        <v>127</v>
      </c>
      <c r="K2" s="55" t="s">
        <v>128</v>
      </c>
      <c r="L2" s="55" t="s">
        <v>129</v>
      </c>
      <c r="M2" s="55" t="s">
        <v>130</v>
      </c>
      <c r="N2" s="55" t="s">
        <v>131</v>
      </c>
      <c r="O2" s="55" t="s">
        <v>132</v>
      </c>
      <c r="P2" s="55" t="s">
        <v>133</v>
      </c>
      <c r="Q2" s="55" t="s">
        <v>134</v>
      </c>
      <c r="R2" s="55" t="s">
        <v>135</v>
      </c>
      <c r="S2" s="55" t="s">
        <v>136</v>
      </c>
      <c r="T2" s="55" t="s">
        <v>137</v>
      </c>
      <c r="U2" s="55" t="s">
        <v>138</v>
      </c>
      <c r="V2" s="55" t="s">
        <v>139</v>
      </c>
      <c r="W2" s="55" t="s">
        <v>140</v>
      </c>
      <c r="X2" s="55" t="s">
        <v>141</v>
      </c>
      <c r="Y2" s="55" t="s">
        <v>142</v>
      </c>
      <c r="Z2" s="55" t="s">
        <v>143</v>
      </c>
      <c r="AA2" s="55" t="s">
        <v>144</v>
      </c>
      <c r="AB2" s="55" t="s">
        <v>145</v>
      </c>
      <c r="AC2" s="55" t="s">
        <v>146</v>
      </c>
      <c r="AD2" s="55" t="s">
        <v>147</v>
      </c>
      <c r="AE2" s="55" t="s">
        <v>148</v>
      </c>
      <c r="AF2" s="55" t="s">
        <v>149</v>
      </c>
      <c r="AG2" s="55" t="s">
        <v>150</v>
      </c>
      <c r="AH2" s="55" t="s">
        <v>151</v>
      </c>
      <c r="AI2" s="55" t="s">
        <v>152</v>
      </c>
      <c r="AJ2" s="55" t="s">
        <v>153</v>
      </c>
      <c r="AK2" s="55" t="s">
        <v>154</v>
      </c>
      <c r="AL2" s="55" t="s">
        <v>155</v>
      </c>
      <c r="AM2" s="56" t="s">
        <v>156</v>
      </c>
      <c r="AN2" s="57" t="s">
        <v>82</v>
      </c>
    </row>
    <row r="3" spans="1:40" x14ac:dyDescent="0.35">
      <c r="A3" s="67" t="s">
        <v>85</v>
      </c>
      <c r="B3" s="32">
        <v>1</v>
      </c>
      <c r="C3" s="33">
        <f>B3*Dashboard!$B$4</f>
        <v>100</v>
      </c>
      <c r="D3" s="33">
        <f>$B3*Dashboard!$B$4</f>
        <v>100</v>
      </c>
      <c r="E3" s="33">
        <f>$B3*Dashboard!$B$4*(1-Dashboard!$B$5+Dashboard!$B$6)^1</f>
        <v>95.5</v>
      </c>
      <c r="F3" s="33">
        <f>$B3*Dashboard!$B$4*(1-Dashboard!$B$5+Dashboard!$B$6)^2</f>
        <v>91.202500000000001</v>
      </c>
      <c r="G3" s="33">
        <f>$B3*Dashboard!$B$4*(1-Dashboard!$B$5+Dashboard!$B$6)^3</f>
        <v>87.098387500000001</v>
      </c>
      <c r="H3" s="33">
        <f>$B3*Dashboard!$B$4*(1-Dashboard!$B$5+Dashboard!$B$6)^4</f>
        <v>83.178960062499996</v>
      </c>
      <c r="I3" s="33">
        <f>$B3*Dashboard!$B$4*(1-Dashboard!$B$5+Dashboard!$B$6)^5</f>
        <v>79.435906859687492</v>
      </c>
      <c r="J3" s="33">
        <f>$B3*Dashboard!$B$4*(1-Dashboard!$B$5+Dashboard!$B$6)^6</f>
        <v>75.861291051001558</v>
      </c>
      <c r="K3" s="33">
        <f>$B3*Dashboard!$B$4*(1-Dashboard!$B$5+Dashboard!$B$6)^7</f>
        <v>72.447532953706485</v>
      </c>
      <c r="L3" s="33">
        <f>$B3*Dashboard!$B$4*(1-Dashboard!$B$5+Dashboard!$B$6)^8</f>
        <v>69.187393970789685</v>
      </c>
      <c r="M3" s="33">
        <f>$B3*Dashboard!$B$4*(1-Dashboard!$B$5+Dashboard!$B$6)^9</f>
        <v>66.073961242104147</v>
      </c>
      <c r="N3" s="33">
        <f>$B3*Dashboard!$B$4*(1-Dashboard!$B$5+Dashboard!$B$6)^10</f>
        <v>63.100632986209469</v>
      </c>
      <c r="O3" s="33">
        <f>$B3*Dashboard!$B$4*(1-Dashboard!$B$5+Dashboard!$B$6)^11</f>
        <v>60.26110450183004</v>
      </c>
      <c r="P3" s="33">
        <f>$B3*Dashboard!$B$4*(1-Dashboard!$B$5+Dashboard!$B$6)^12</f>
        <v>57.549354799247688</v>
      </c>
      <c r="Q3" s="33">
        <f>$B3*Dashboard!$B$4*(1-Dashboard!$B$5+Dashboard!$B$6)^13</f>
        <v>54.959633833281544</v>
      </c>
      <c r="R3" s="33">
        <f>$B3*Dashboard!$B$4*(1-Dashboard!$B$5+Dashboard!$B$6)^14</f>
        <v>52.486450310783873</v>
      </c>
      <c r="S3" s="33">
        <f>$B3*Dashboard!$B$4*(1-Dashboard!$B$5+Dashboard!$B$6)^15</f>
        <v>50.124560046798592</v>
      </c>
      <c r="T3" s="33">
        <f>$B3*Dashboard!$B$4*(1-Dashboard!$B$5+Dashboard!$B$6)^16</f>
        <v>47.868954844692659</v>
      </c>
      <c r="U3" s="33">
        <f>$B3*Dashboard!$B$4*(1-Dashboard!$B$5+Dashboard!$B$6)^17</f>
        <v>45.714851876681486</v>
      </c>
      <c r="V3" s="33">
        <f>$B3*Dashboard!$B$4*(1-Dashboard!$B$5+Dashboard!$B$6)^18</f>
        <v>43.657683542230821</v>
      </c>
      <c r="W3" s="33">
        <f>$B3*Dashboard!$B$4*(1-Dashboard!$B$5+Dashboard!$B$6)^19</f>
        <v>41.693087782830432</v>
      </c>
      <c r="X3" s="33">
        <f>$B3*Dashboard!$B$4*(1-Dashboard!$B$5+Dashboard!$B$6)^20</f>
        <v>39.816898832603066</v>
      </c>
      <c r="Y3" s="33">
        <f>$B3*Dashboard!$B$4*(1-Dashboard!$B$5+Dashboard!$B$6)^21</f>
        <v>38.025138385135918</v>
      </c>
      <c r="Z3" s="33">
        <f>$B3*Dashboard!$B$4*(1-Dashboard!$B$5+Dashboard!$B$6)^22</f>
        <v>36.314007157804809</v>
      </c>
      <c r="AA3" s="33">
        <f>$B3*Dashboard!$B$4*(1-Dashboard!$B$5+Dashboard!$B$6)^23</f>
        <v>34.679876835703588</v>
      </c>
      <c r="AB3" s="33">
        <f>$B3*Dashboard!$B$4*(1-Dashboard!$B$5+Dashboard!$B$6)^24</f>
        <v>33.119282378096926</v>
      </c>
      <c r="AC3" s="33">
        <f>$B3*Dashboard!$B$4*(1-Dashboard!$B$5+Dashboard!$B$6)^25</f>
        <v>31.628914671082565</v>
      </c>
      <c r="AD3" s="33">
        <f>$B3*Dashboard!$B$4*(1-Dashboard!$B$5+Dashboard!$B$6)^26</f>
        <v>30.20561351088385</v>
      </c>
      <c r="AE3" s="33">
        <f>$B3*Dashboard!$B$4*(1-Dashboard!$B$5+Dashboard!$B$6)^27</f>
        <v>28.846360902894077</v>
      </c>
      <c r="AF3" s="33">
        <f>$B3*Dashboard!$B$4*(1-Dashboard!$B$5+Dashboard!$B$6)^28</f>
        <v>27.548274662263843</v>
      </c>
      <c r="AG3" s="33">
        <f>$B3*Dashboard!$B$4*(1-Dashboard!$B$5+Dashboard!$B$6)^29</f>
        <v>26.308602302461971</v>
      </c>
      <c r="AH3" s="33">
        <f>$B3*Dashboard!$B$4*(1-Dashboard!$B$5+Dashboard!$B$6)^30</f>
        <v>25.124715198851185</v>
      </c>
      <c r="AI3" s="33">
        <f>$B3*Dashboard!$B$4*(1-Dashboard!$B$5+Dashboard!$B$6)^31</f>
        <v>23.994103014902876</v>
      </c>
      <c r="AJ3" s="33">
        <f>$B3*Dashboard!$B$4*(1-Dashboard!$B$5+Dashboard!$B$6)^32</f>
        <v>22.914368379232247</v>
      </c>
      <c r="AK3" s="33">
        <f>$B3*Dashboard!$B$4*(1-Dashboard!$B$5+Dashboard!$B$6)^33</f>
        <v>21.883221802166794</v>
      </c>
      <c r="AL3" s="33">
        <f>$B3*Dashboard!$B$4*(1-Dashboard!$B$5+Dashboard!$B$6)^34</f>
        <v>20.898476821069288</v>
      </c>
      <c r="AM3" s="34">
        <f>$B3*Dashboard!$B$4*(1-Dashboard!$B$5+Dashboard!$B$6)^35</f>
        <v>19.958045364121173</v>
      </c>
      <c r="AN3" s="65">
        <f t="shared" ref="AN3:AN38" si="0">SUM(D3:AM3)</f>
        <v>1798.6681483836503</v>
      </c>
    </row>
    <row r="4" spans="1:40" x14ac:dyDescent="0.35">
      <c r="A4" s="68" t="s">
        <v>86</v>
      </c>
      <c r="B4" s="29">
        <v>1</v>
      </c>
      <c r="C4" s="30">
        <f>B4*Dashboard!$B$4</f>
        <v>100</v>
      </c>
      <c r="D4" s="30"/>
      <c r="E4" s="30">
        <f>$B4*Dashboard!$B$4</f>
        <v>100</v>
      </c>
      <c r="F4" s="30">
        <f>$B4*Dashboard!$B$4*(1-Dashboard!$B$5+Dashboard!$B$6)^1</f>
        <v>95.5</v>
      </c>
      <c r="G4" s="30">
        <f>$B4*Dashboard!$B$4*(1-Dashboard!$B$5+Dashboard!$B$6)^2</f>
        <v>91.202500000000001</v>
      </c>
      <c r="H4" s="30">
        <f>$B4*Dashboard!$B$4*(1-Dashboard!$B$5+Dashboard!$B$6)^3</f>
        <v>87.098387500000001</v>
      </c>
      <c r="I4" s="30">
        <f>$B4*Dashboard!$B$4*(1-Dashboard!$B$5+Dashboard!$B$6)^4</f>
        <v>83.178960062499996</v>
      </c>
      <c r="J4" s="30">
        <f>$B4*Dashboard!$B$4*(1-Dashboard!$B$5+Dashboard!$B$6)^5</f>
        <v>79.435906859687492</v>
      </c>
      <c r="K4" s="30">
        <f>$B4*Dashboard!$B$4*(1-Dashboard!$B$5+Dashboard!$B$6)^6</f>
        <v>75.861291051001558</v>
      </c>
      <c r="L4" s="30">
        <f>$B4*Dashboard!$B$4*(1-Dashboard!$B$5+Dashboard!$B$6)^7</f>
        <v>72.447532953706485</v>
      </c>
      <c r="M4" s="30">
        <f>$B4*Dashboard!$B$4*(1-Dashboard!$B$5+Dashboard!$B$6)^8</f>
        <v>69.187393970789685</v>
      </c>
      <c r="N4" s="30">
        <f>$B4*Dashboard!$B$4*(1-Dashboard!$B$5+Dashboard!$B$6)^9</f>
        <v>66.073961242104147</v>
      </c>
      <c r="O4" s="30">
        <f>$B4*Dashboard!$B$4*(1-Dashboard!$B$5+Dashboard!$B$6)^10</f>
        <v>63.100632986209469</v>
      </c>
      <c r="P4" s="30">
        <f>$B4*Dashboard!$B$4*(1-Dashboard!$B$5+Dashboard!$B$6)^11</f>
        <v>60.26110450183004</v>
      </c>
      <c r="Q4" s="30">
        <f>$B4*Dashboard!$B$4*(1-Dashboard!$B$5+Dashboard!$B$6)^12</f>
        <v>57.549354799247688</v>
      </c>
      <c r="R4" s="30">
        <f>$B4*Dashboard!$B$4*(1-Dashboard!$B$5+Dashboard!$B$6)^13</f>
        <v>54.959633833281544</v>
      </c>
      <c r="S4" s="30">
        <f>$B4*Dashboard!$B$4*(1-Dashboard!$B$5+Dashboard!$B$6)^14</f>
        <v>52.486450310783873</v>
      </c>
      <c r="T4" s="30">
        <f>$B4*Dashboard!$B$4*(1-Dashboard!$B$5+Dashboard!$B$6)^15</f>
        <v>50.124560046798592</v>
      </c>
      <c r="U4" s="30">
        <f>$B4*Dashboard!$B$4*(1-Dashboard!$B$5+Dashboard!$B$6)^16</f>
        <v>47.868954844692659</v>
      </c>
      <c r="V4" s="30">
        <f>$B4*Dashboard!$B$4*(1-Dashboard!$B$5+Dashboard!$B$6)^17</f>
        <v>45.714851876681486</v>
      </c>
      <c r="W4" s="30">
        <f>$B4*Dashboard!$B$4*(1-Dashboard!$B$5+Dashboard!$B$6)^18</f>
        <v>43.657683542230821</v>
      </c>
      <c r="X4" s="30">
        <f>$B4*Dashboard!$B$4*(1-Dashboard!$B$5+Dashboard!$B$6)^19</f>
        <v>41.693087782830432</v>
      </c>
      <c r="Y4" s="30">
        <f>$B4*Dashboard!$B$4*(1-Dashboard!$B$5+Dashboard!$B$6)^20</f>
        <v>39.816898832603066</v>
      </c>
      <c r="Z4" s="30">
        <f>$B4*Dashboard!$B$4*(1-Dashboard!$B$5+Dashboard!$B$6)^21</f>
        <v>38.025138385135918</v>
      </c>
      <c r="AA4" s="30">
        <f>$B4*Dashboard!$B$4*(1-Dashboard!$B$5+Dashboard!$B$6)^22</f>
        <v>36.314007157804809</v>
      </c>
      <c r="AB4" s="30">
        <f>$B4*Dashboard!$B$4*(1-Dashboard!$B$5+Dashboard!$B$6)^23</f>
        <v>34.679876835703588</v>
      </c>
      <c r="AC4" s="30">
        <f>$B4*Dashboard!$B$4*(1-Dashboard!$B$5+Dashboard!$B$6)^24</f>
        <v>33.119282378096926</v>
      </c>
      <c r="AD4" s="30">
        <f>$B4*Dashboard!$B$4*(1-Dashboard!$B$5+Dashboard!$B$6)^25</f>
        <v>31.628914671082565</v>
      </c>
      <c r="AE4" s="30">
        <f>$B4*Dashboard!$B$4*(1-Dashboard!$B$5+Dashboard!$B$6)^26</f>
        <v>30.20561351088385</v>
      </c>
      <c r="AF4" s="30">
        <f>$B4*Dashboard!$B$4*(1-Dashboard!$B$5+Dashboard!$B$6)^27</f>
        <v>28.846360902894077</v>
      </c>
      <c r="AG4" s="30">
        <f>$B4*Dashboard!$B$4*(1-Dashboard!$B$5+Dashboard!$B$6)^28</f>
        <v>27.548274662263843</v>
      </c>
      <c r="AH4" s="30">
        <f>$B4*Dashboard!$B$4*(1-Dashboard!$B$5+Dashboard!$B$6)^29</f>
        <v>26.308602302461971</v>
      </c>
      <c r="AI4" s="30">
        <f>$B4*Dashboard!$B$4*(1-Dashboard!$B$5+Dashboard!$B$6)^30</f>
        <v>25.124715198851185</v>
      </c>
      <c r="AJ4" s="30">
        <f>$B4*Dashboard!$B$4*(1-Dashboard!$B$5+Dashboard!$B$6)^31</f>
        <v>23.994103014902876</v>
      </c>
      <c r="AK4" s="30">
        <f>$B4*Dashboard!$B$4*(1-Dashboard!$B$5+Dashboard!$B$6)^32</f>
        <v>22.914368379232247</v>
      </c>
      <c r="AL4" s="30">
        <f>$B4*Dashboard!$B$4*(1-Dashboard!$B$5+Dashboard!$B$6)^33</f>
        <v>21.883221802166794</v>
      </c>
      <c r="AM4" s="31">
        <f>$B4*Dashboard!$B$4*(1-Dashboard!$B$5+Dashboard!$B$6)^34</f>
        <v>20.898476821069288</v>
      </c>
      <c r="AN4" s="66">
        <f t="shared" si="0"/>
        <v>1778.7101030195292</v>
      </c>
    </row>
    <row r="5" spans="1:40" x14ac:dyDescent="0.35">
      <c r="A5" s="68" t="s">
        <v>87</v>
      </c>
      <c r="B5" s="26">
        <v>1</v>
      </c>
      <c r="C5" s="27">
        <f>B5*Dashboard!$B$4</f>
        <v>100</v>
      </c>
      <c r="D5" s="27"/>
      <c r="E5" s="27"/>
      <c r="F5" s="27">
        <f>$B5*Dashboard!$B$4</f>
        <v>100</v>
      </c>
      <c r="G5" s="27">
        <f>$B5*Dashboard!$B$4*(1-Dashboard!$B$5+Dashboard!$B$6)^1</f>
        <v>95.5</v>
      </c>
      <c r="H5" s="27">
        <f>$B5*Dashboard!$B$4*(1-Dashboard!$B$5+Dashboard!$B$6)^2</f>
        <v>91.202500000000001</v>
      </c>
      <c r="I5" s="27">
        <f>$B5*Dashboard!$B$4*(1-Dashboard!$B$5+Dashboard!$B$6)^3</f>
        <v>87.098387500000001</v>
      </c>
      <c r="J5" s="27">
        <f>$B5*Dashboard!$B$4*(1-Dashboard!$B$5+Dashboard!$B$6)^4</f>
        <v>83.178960062499996</v>
      </c>
      <c r="K5" s="27">
        <f>$B5*Dashboard!$B$4*(1-Dashboard!$B$5+Dashboard!$B$6)^5</f>
        <v>79.435906859687492</v>
      </c>
      <c r="L5" s="27">
        <f>$B5*Dashboard!$B$4*(1-Dashboard!$B$5+Dashboard!$B$6)^6</f>
        <v>75.861291051001558</v>
      </c>
      <c r="M5" s="27">
        <f>$B5*Dashboard!$B$4*(1-Dashboard!$B$5+Dashboard!$B$6)^7</f>
        <v>72.447532953706485</v>
      </c>
      <c r="N5" s="27">
        <f>$B5*Dashboard!$B$4*(1-Dashboard!$B$5+Dashboard!$B$6)^8</f>
        <v>69.187393970789685</v>
      </c>
      <c r="O5" s="27">
        <f>$B5*Dashboard!$B$4*(1-Dashboard!$B$5+Dashboard!$B$6)^9</f>
        <v>66.073961242104147</v>
      </c>
      <c r="P5" s="27">
        <f>$B5*Dashboard!$B$4*(1-Dashboard!$B$5+Dashboard!$B$6)^10</f>
        <v>63.100632986209469</v>
      </c>
      <c r="Q5" s="27">
        <f>$B5*Dashboard!$B$4*(1-Dashboard!$B$5+Dashboard!$B$6)^11</f>
        <v>60.26110450183004</v>
      </c>
      <c r="R5" s="27">
        <f>$B5*Dashboard!$B$4*(1-Dashboard!$B$5+Dashboard!$B$6)^12</f>
        <v>57.549354799247688</v>
      </c>
      <c r="S5" s="27">
        <f>$B5*Dashboard!$B$4*(1-Dashboard!$B$5+Dashboard!$B$6)^13</f>
        <v>54.959633833281544</v>
      </c>
      <c r="T5" s="27">
        <f>$B5*Dashboard!$B$4*(1-Dashboard!$B$5+Dashboard!$B$6)^14</f>
        <v>52.486450310783873</v>
      </c>
      <c r="U5" s="27">
        <f>$B5*Dashboard!$B$4*(1-Dashboard!$B$5+Dashboard!$B$6)^15</f>
        <v>50.124560046798592</v>
      </c>
      <c r="V5" s="27">
        <f>$B5*Dashboard!$B$4*(1-Dashboard!$B$5+Dashboard!$B$6)^16</f>
        <v>47.868954844692659</v>
      </c>
      <c r="W5" s="27">
        <f>$B5*Dashboard!$B$4*(1-Dashboard!$B$5+Dashboard!$B$6)^17</f>
        <v>45.714851876681486</v>
      </c>
      <c r="X5" s="27">
        <f>$B5*Dashboard!$B$4*(1-Dashboard!$B$5+Dashboard!$B$6)^18</f>
        <v>43.657683542230821</v>
      </c>
      <c r="Y5" s="27">
        <f>$B5*Dashboard!$B$4*(1-Dashboard!$B$5+Dashboard!$B$6)^19</f>
        <v>41.693087782830432</v>
      </c>
      <c r="Z5" s="27">
        <f>$B5*Dashboard!$B$4*(1-Dashboard!$B$5+Dashboard!$B$6)^20</f>
        <v>39.816898832603066</v>
      </c>
      <c r="AA5" s="27">
        <f>$B5*Dashboard!$B$4*(1-Dashboard!$B$5+Dashboard!$B$6)^21</f>
        <v>38.025138385135918</v>
      </c>
      <c r="AB5" s="27">
        <f>$B5*Dashboard!$B$4*(1-Dashboard!$B$5+Dashboard!$B$6)^22</f>
        <v>36.314007157804809</v>
      </c>
      <c r="AC5" s="27">
        <f>$B5*Dashboard!$B$4*(1-Dashboard!$B$5+Dashboard!$B$6)^23</f>
        <v>34.679876835703588</v>
      </c>
      <c r="AD5" s="27">
        <f>$B5*Dashboard!$B$4*(1-Dashboard!$B$5+Dashboard!$B$6)^24</f>
        <v>33.119282378096926</v>
      </c>
      <c r="AE5" s="27">
        <f>$B5*Dashboard!$B$4*(1-Dashboard!$B$5+Dashboard!$B$6)^25</f>
        <v>31.628914671082565</v>
      </c>
      <c r="AF5" s="27">
        <f>$B5*Dashboard!$B$4*(1-Dashboard!$B$5+Dashboard!$B$6)^26</f>
        <v>30.20561351088385</v>
      </c>
      <c r="AG5" s="27">
        <f>$B5*Dashboard!$B$4*(1-Dashboard!$B$5+Dashboard!$B$6)^27</f>
        <v>28.846360902894077</v>
      </c>
      <c r="AH5" s="27">
        <f>$B5*Dashboard!$B$4*(1-Dashboard!$B$5+Dashboard!$B$6)^28</f>
        <v>27.548274662263843</v>
      </c>
      <c r="AI5" s="27">
        <f>$B5*Dashboard!$B$4*(1-Dashboard!$B$5+Dashboard!$B$6)^29</f>
        <v>26.308602302461971</v>
      </c>
      <c r="AJ5" s="27">
        <f>$B5*Dashboard!$B$4*(1-Dashboard!$B$5+Dashboard!$B$6)^30</f>
        <v>25.124715198851185</v>
      </c>
      <c r="AK5" s="27">
        <f>$B5*Dashboard!$B$4*(1-Dashboard!$B$5+Dashboard!$B$6)^31</f>
        <v>23.994103014902876</v>
      </c>
      <c r="AL5" s="27">
        <f>$B5*Dashboard!$B$4*(1-Dashboard!$B$5+Dashboard!$B$6)^32</f>
        <v>22.914368379232247</v>
      </c>
      <c r="AM5" s="28">
        <f>$B5*Dashboard!$B$4*(1-Dashboard!$B$5+Dashboard!$B$6)^33</f>
        <v>21.883221802166794</v>
      </c>
      <c r="AN5" s="66">
        <f t="shared" si="0"/>
        <v>1757.8116261984599</v>
      </c>
    </row>
    <row r="6" spans="1:40" x14ac:dyDescent="0.35">
      <c r="A6" s="68" t="s">
        <v>88</v>
      </c>
      <c r="B6" s="29">
        <v>1</v>
      </c>
      <c r="C6" s="30">
        <f>B6*Dashboard!$B$4</f>
        <v>100</v>
      </c>
      <c r="D6" s="30"/>
      <c r="E6" s="30"/>
      <c r="F6" s="30"/>
      <c r="G6" s="30">
        <f>$B6*Dashboard!$B$4</f>
        <v>100</v>
      </c>
      <c r="H6" s="30">
        <f>$B6*Dashboard!$B$4*(1-Dashboard!$B$5+Dashboard!$B$6)^1</f>
        <v>95.5</v>
      </c>
      <c r="I6" s="30">
        <f>$B6*Dashboard!$B$4*(1-Dashboard!$B$5+Dashboard!$B$6)^2</f>
        <v>91.202500000000001</v>
      </c>
      <c r="J6" s="30">
        <f>$B6*Dashboard!$B$4*(1-Dashboard!$B$5+Dashboard!$B$6)^3</f>
        <v>87.098387500000001</v>
      </c>
      <c r="K6" s="30">
        <f>$B6*Dashboard!$B$4*(1-Dashboard!$B$5+Dashboard!$B$6)^4</f>
        <v>83.178960062499996</v>
      </c>
      <c r="L6" s="30">
        <f>$B6*Dashboard!$B$4*(1-Dashboard!$B$5+Dashboard!$B$6)^5</f>
        <v>79.435906859687492</v>
      </c>
      <c r="M6" s="30">
        <f>$B6*Dashboard!$B$4*(1-Dashboard!$B$5+Dashboard!$B$6)^6</f>
        <v>75.861291051001558</v>
      </c>
      <c r="N6" s="30">
        <f>$B6*Dashboard!$B$4*(1-Dashboard!$B$5+Dashboard!$B$6)^7</f>
        <v>72.447532953706485</v>
      </c>
      <c r="O6" s="30">
        <f>$B6*Dashboard!$B$4*(1-Dashboard!$B$5+Dashboard!$B$6)^8</f>
        <v>69.187393970789685</v>
      </c>
      <c r="P6" s="30">
        <f>$B6*Dashboard!$B$4*(1-Dashboard!$B$5+Dashboard!$B$6)^9</f>
        <v>66.073961242104147</v>
      </c>
      <c r="Q6" s="30">
        <f>$B6*Dashboard!$B$4*(1-Dashboard!$B$5+Dashboard!$B$6)^10</f>
        <v>63.100632986209469</v>
      </c>
      <c r="R6" s="30">
        <f>$B6*Dashboard!$B$4*(1-Dashboard!$B$5+Dashboard!$B$6)^11</f>
        <v>60.26110450183004</v>
      </c>
      <c r="S6" s="30">
        <f>$B6*Dashboard!$B$4*(1-Dashboard!$B$5+Dashboard!$B$6)^12</f>
        <v>57.549354799247688</v>
      </c>
      <c r="T6" s="30">
        <f>$B6*Dashboard!$B$4*(1-Dashboard!$B$5+Dashboard!$B$6)^13</f>
        <v>54.959633833281544</v>
      </c>
      <c r="U6" s="30">
        <f>$B6*Dashboard!$B$4*(1-Dashboard!$B$5+Dashboard!$B$6)^14</f>
        <v>52.486450310783873</v>
      </c>
      <c r="V6" s="30">
        <f>$B6*Dashboard!$B$4*(1-Dashboard!$B$5+Dashboard!$B$6)^15</f>
        <v>50.124560046798592</v>
      </c>
      <c r="W6" s="30">
        <f>$B6*Dashboard!$B$4*(1-Dashboard!$B$5+Dashboard!$B$6)^16</f>
        <v>47.868954844692659</v>
      </c>
      <c r="X6" s="30">
        <f>$B6*Dashboard!$B$4*(1-Dashboard!$B$5+Dashboard!$B$6)^17</f>
        <v>45.714851876681486</v>
      </c>
      <c r="Y6" s="30">
        <f>$B6*Dashboard!$B$4*(1-Dashboard!$B$5+Dashboard!$B$6)^18</f>
        <v>43.657683542230821</v>
      </c>
      <c r="Z6" s="30">
        <f>$B6*Dashboard!$B$4*(1-Dashboard!$B$5+Dashboard!$B$6)^19</f>
        <v>41.693087782830432</v>
      </c>
      <c r="AA6" s="30">
        <f>$B6*Dashboard!$B$4*(1-Dashboard!$B$5+Dashboard!$B$6)^20</f>
        <v>39.816898832603066</v>
      </c>
      <c r="AB6" s="30">
        <f>$B6*Dashboard!$B$4*(1-Dashboard!$B$5+Dashboard!$B$6)^21</f>
        <v>38.025138385135918</v>
      </c>
      <c r="AC6" s="30">
        <f>$B6*Dashboard!$B$4*(1-Dashboard!$B$5+Dashboard!$B$6)^22</f>
        <v>36.314007157804809</v>
      </c>
      <c r="AD6" s="30">
        <f>$B6*Dashboard!$B$4*(1-Dashboard!$B$5+Dashboard!$B$6)^23</f>
        <v>34.679876835703588</v>
      </c>
      <c r="AE6" s="30">
        <f>$B6*Dashboard!$B$4*(1-Dashboard!$B$5+Dashboard!$B$6)^24</f>
        <v>33.119282378096926</v>
      </c>
      <c r="AF6" s="30">
        <f>$B6*Dashboard!$B$4*(1-Dashboard!$B$5+Dashboard!$B$6)^25</f>
        <v>31.628914671082565</v>
      </c>
      <c r="AG6" s="30">
        <f>$B6*Dashboard!$B$4*(1-Dashboard!$B$5+Dashboard!$B$6)^26</f>
        <v>30.20561351088385</v>
      </c>
      <c r="AH6" s="30">
        <f>$B6*Dashboard!$B$4*(1-Dashboard!$B$5+Dashboard!$B$6)^27</f>
        <v>28.846360902894077</v>
      </c>
      <c r="AI6" s="30">
        <f>$B6*Dashboard!$B$4*(1-Dashboard!$B$5+Dashboard!$B$6)^28</f>
        <v>27.548274662263843</v>
      </c>
      <c r="AJ6" s="30">
        <f>$B6*Dashboard!$B$4*(1-Dashboard!$B$5+Dashboard!$B$6)^29</f>
        <v>26.308602302461971</v>
      </c>
      <c r="AK6" s="30">
        <f>$B6*Dashboard!$B$4*(1-Dashboard!$B$5+Dashboard!$B$6)^30</f>
        <v>25.124715198851185</v>
      </c>
      <c r="AL6" s="30">
        <f>$B6*Dashboard!$B$4*(1-Dashboard!$B$5+Dashboard!$B$6)^31</f>
        <v>23.994103014902876</v>
      </c>
      <c r="AM6" s="31">
        <f>$B6*Dashboard!$B$4*(1-Dashboard!$B$5+Dashboard!$B$6)^32</f>
        <v>22.914368379232247</v>
      </c>
      <c r="AN6" s="66">
        <f t="shared" si="0"/>
        <v>1735.928404396293</v>
      </c>
    </row>
    <row r="7" spans="1:40" x14ac:dyDescent="0.35">
      <c r="A7" s="68" t="s">
        <v>89</v>
      </c>
      <c r="B7" s="26">
        <v>1</v>
      </c>
      <c r="C7" s="27">
        <f>B7*Dashboard!$B$4</f>
        <v>100</v>
      </c>
      <c r="D7" s="27"/>
      <c r="E7" s="27"/>
      <c r="F7" s="27"/>
      <c r="G7" s="27"/>
      <c r="H7" s="27">
        <f>$B7*Dashboard!$B$4</f>
        <v>100</v>
      </c>
      <c r="I7" s="27">
        <f>$B7*Dashboard!$B$4*(1-Dashboard!$B$5+Dashboard!$B$6)^1</f>
        <v>95.5</v>
      </c>
      <c r="J7" s="27">
        <f>$B7*Dashboard!$B$4*(1-Dashboard!$B$5+Dashboard!$B$6)^2</f>
        <v>91.202500000000001</v>
      </c>
      <c r="K7" s="27">
        <f>$B7*Dashboard!$B$4*(1-Dashboard!$B$5+Dashboard!$B$6)^3</f>
        <v>87.098387500000001</v>
      </c>
      <c r="L7" s="27">
        <f>$B7*Dashboard!$B$4*(1-Dashboard!$B$5+Dashboard!$B$6)^4</f>
        <v>83.178960062499996</v>
      </c>
      <c r="M7" s="27">
        <f>$B7*Dashboard!$B$4*(1-Dashboard!$B$5+Dashboard!$B$6)^5</f>
        <v>79.435906859687492</v>
      </c>
      <c r="N7" s="27">
        <f>$B7*Dashboard!$B$4*(1-Dashboard!$B$5+Dashboard!$B$6)^6</f>
        <v>75.861291051001558</v>
      </c>
      <c r="O7" s="27">
        <f>$B7*Dashboard!$B$4*(1-Dashboard!$B$5+Dashboard!$B$6)^7</f>
        <v>72.447532953706485</v>
      </c>
      <c r="P7" s="27">
        <f>$B7*Dashboard!$B$4*(1-Dashboard!$B$5+Dashboard!$B$6)^8</f>
        <v>69.187393970789685</v>
      </c>
      <c r="Q7" s="27">
        <f>$B7*Dashboard!$B$4*(1-Dashboard!$B$5+Dashboard!$B$6)^9</f>
        <v>66.073961242104147</v>
      </c>
      <c r="R7" s="27">
        <f>$B7*Dashboard!$B$4*(1-Dashboard!$B$5+Dashboard!$B$6)^10</f>
        <v>63.100632986209469</v>
      </c>
      <c r="S7" s="27">
        <f>$B7*Dashboard!$B$4*(1-Dashboard!$B$5+Dashboard!$B$6)^11</f>
        <v>60.26110450183004</v>
      </c>
      <c r="T7" s="27">
        <f>$B7*Dashboard!$B$4*(1-Dashboard!$B$5+Dashboard!$B$6)^12</f>
        <v>57.549354799247688</v>
      </c>
      <c r="U7" s="27">
        <f>$B7*Dashboard!$B$4*(1-Dashboard!$B$5+Dashboard!$B$6)^13</f>
        <v>54.959633833281544</v>
      </c>
      <c r="V7" s="27">
        <f>$B7*Dashboard!$B$4*(1-Dashboard!$B$5+Dashboard!$B$6)^14</f>
        <v>52.486450310783873</v>
      </c>
      <c r="W7" s="27">
        <f>$B7*Dashboard!$B$4*(1-Dashboard!$B$5+Dashboard!$B$6)^15</f>
        <v>50.124560046798592</v>
      </c>
      <c r="X7" s="27">
        <f>$B7*Dashboard!$B$4*(1-Dashboard!$B$5+Dashboard!$B$6)^16</f>
        <v>47.868954844692659</v>
      </c>
      <c r="Y7" s="27">
        <f>$B7*Dashboard!$B$4*(1-Dashboard!$B$5+Dashboard!$B$6)^17</f>
        <v>45.714851876681486</v>
      </c>
      <c r="Z7" s="27">
        <f>$B7*Dashboard!$B$4*(1-Dashboard!$B$5+Dashboard!$B$6)^18</f>
        <v>43.657683542230821</v>
      </c>
      <c r="AA7" s="27">
        <f>$B7*Dashboard!$B$4*(1-Dashboard!$B$5+Dashboard!$B$6)^19</f>
        <v>41.693087782830432</v>
      </c>
      <c r="AB7" s="27">
        <f>$B7*Dashboard!$B$4*(1-Dashboard!$B$5+Dashboard!$B$6)^20</f>
        <v>39.816898832603066</v>
      </c>
      <c r="AC7" s="27">
        <f>$B7*Dashboard!$B$4*(1-Dashboard!$B$5+Dashboard!$B$6)^21</f>
        <v>38.025138385135918</v>
      </c>
      <c r="AD7" s="27">
        <f>$B7*Dashboard!$B$4*(1-Dashboard!$B$5+Dashboard!$B$6)^22</f>
        <v>36.314007157804809</v>
      </c>
      <c r="AE7" s="27">
        <f>$B7*Dashboard!$B$4*(1-Dashboard!$B$5+Dashboard!$B$6)^23</f>
        <v>34.679876835703588</v>
      </c>
      <c r="AF7" s="27">
        <f>$B7*Dashboard!$B$4*(1-Dashboard!$B$5+Dashboard!$B$6)^24</f>
        <v>33.119282378096926</v>
      </c>
      <c r="AG7" s="27">
        <f>$B7*Dashboard!$B$4*(1-Dashboard!$B$5+Dashboard!$B$6)^25</f>
        <v>31.628914671082565</v>
      </c>
      <c r="AH7" s="27">
        <f>$B7*Dashboard!$B$4*(1-Dashboard!$B$5+Dashboard!$B$6)^26</f>
        <v>30.20561351088385</v>
      </c>
      <c r="AI7" s="27">
        <f>$B7*Dashboard!$B$4*(1-Dashboard!$B$5+Dashboard!$B$6)^27</f>
        <v>28.846360902894077</v>
      </c>
      <c r="AJ7" s="27">
        <f>$B7*Dashboard!$B$4*(1-Dashboard!$B$5+Dashboard!$B$6)^28</f>
        <v>27.548274662263843</v>
      </c>
      <c r="AK7" s="27">
        <f>$B7*Dashboard!$B$4*(1-Dashboard!$B$5+Dashboard!$B$6)^29</f>
        <v>26.308602302461971</v>
      </c>
      <c r="AL7" s="27">
        <f>$B7*Dashboard!$B$4*(1-Dashboard!$B$5+Dashboard!$B$6)^30</f>
        <v>25.124715198851185</v>
      </c>
      <c r="AM7" s="28">
        <f>$B7*Dashboard!$B$4*(1-Dashboard!$B$5+Dashboard!$B$6)^31</f>
        <v>23.994103014902876</v>
      </c>
      <c r="AN7" s="66">
        <f t="shared" si="0"/>
        <v>1713.0140360170608</v>
      </c>
    </row>
    <row r="8" spans="1:40" x14ac:dyDescent="0.35">
      <c r="A8" s="68" t="s">
        <v>90</v>
      </c>
      <c r="B8" s="29">
        <v>1</v>
      </c>
      <c r="C8" s="30">
        <f>B8*Dashboard!$B$4</f>
        <v>100</v>
      </c>
      <c r="D8" s="30"/>
      <c r="E8" s="30"/>
      <c r="F8" s="30"/>
      <c r="G8" s="30"/>
      <c r="H8" s="30"/>
      <c r="I8" s="30">
        <f>$B8*Dashboard!$B$4</f>
        <v>100</v>
      </c>
      <c r="J8" s="30">
        <f>$B8*Dashboard!$B$4*(1-Dashboard!$B$5+Dashboard!$B$6)^1</f>
        <v>95.5</v>
      </c>
      <c r="K8" s="30">
        <f>$B8*Dashboard!$B$4*(1-Dashboard!$B$5+Dashboard!$B$6)^2</f>
        <v>91.202500000000001</v>
      </c>
      <c r="L8" s="30">
        <f>$B8*Dashboard!$B$4*(1-Dashboard!$B$5+Dashboard!$B$6)^3</f>
        <v>87.098387500000001</v>
      </c>
      <c r="M8" s="30">
        <f>$B8*Dashboard!$B$4*(1-Dashboard!$B$5+Dashboard!$B$6)^4</f>
        <v>83.178960062499996</v>
      </c>
      <c r="N8" s="30">
        <f>$B8*Dashboard!$B$4*(1-Dashboard!$B$5+Dashboard!$B$6)^5</f>
        <v>79.435906859687492</v>
      </c>
      <c r="O8" s="30">
        <f>$B8*Dashboard!$B$4*(1-Dashboard!$B$5+Dashboard!$B$6)^6</f>
        <v>75.861291051001558</v>
      </c>
      <c r="P8" s="30">
        <f>$B8*Dashboard!$B$4*(1-Dashboard!$B$5+Dashboard!$B$6)^7</f>
        <v>72.447532953706485</v>
      </c>
      <c r="Q8" s="30">
        <f>$B8*Dashboard!$B$4*(1-Dashboard!$B$5+Dashboard!$B$6)^8</f>
        <v>69.187393970789685</v>
      </c>
      <c r="R8" s="30">
        <f>$B8*Dashboard!$B$4*(1-Dashboard!$B$5+Dashboard!$B$6)^9</f>
        <v>66.073961242104147</v>
      </c>
      <c r="S8" s="30">
        <f>$B8*Dashboard!$B$4*(1-Dashboard!$B$5+Dashboard!$B$6)^10</f>
        <v>63.100632986209469</v>
      </c>
      <c r="T8" s="30">
        <f>$B8*Dashboard!$B$4*(1-Dashboard!$B$5+Dashboard!$B$6)^11</f>
        <v>60.26110450183004</v>
      </c>
      <c r="U8" s="30">
        <f>$B8*Dashboard!$B$4*(1-Dashboard!$B$5+Dashboard!$B$6)^12</f>
        <v>57.549354799247688</v>
      </c>
      <c r="V8" s="30">
        <f>$B8*Dashboard!$B$4*(1-Dashboard!$B$5+Dashboard!$B$6)^13</f>
        <v>54.959633833281544</v>
      </c>
      <c r="W8" s="30">
        <f>$B8*Dashboard!$B$4*(1-Dashboard!$B$5+Dashboard!$B$6)^14</f>
        <v>52.486450310783873</v>
      </c>
      <c r="X8" s="30">
        <f>$B8*Dashboard!$B$4*(1-Dashboard!$B$5+Dashboard!$B$6)^15</f>
        <v>50.124560046798592</v>
      </c>
      <c r="Y8" s="30">
        <f>$B8*Dashboard!$B$4*(1-Dashboard!$B$5+Dashboard!$B$6)^16</f>
        <v>47.868954844692659</v>
      </c>
      <c r="Z8" s="30">
        <f>$B8*Dashboard!$B$4*(1-Dashboard!$B$5+Dashboard!$B$6)^17</f>
        <v>45.714851876681486</v>
      </c>
      <c r="AA8" s="30">
        <f>$B8*Dashboard!$B$4*(1-Dashboard!$B$5+Dashboard!$B$6)^18</f>
        <v>43.657683542230821</v>
      </c>
      <c r="AB8" s="30">
        <f>$B8*Dashboard!$B$4*(1-Dashboard!$B$5+Dashboard!$B$6)^19</f>
        <v>41.693087782830432</v>
      </c>
      <c r="AC8" s="30">
        <f>$B8*Dashboard!$B$4*(1-Dashboard!$B$5+Dashboard!$B$6)^20</f>
        <v>39.816898832603066</v>
      </c>
      <c r="AD8" s="30">
        <f>$B8*Dashboard!$B$4*(1-Dashboard!$B$5+Dashboard!$B$6)^21</f>
        <v>38.025138385135918</v>
      </c>
      <c r="AE8" s="30">
        <f>$B8*Dashboard!$B$4*(1-Dashboard!$B$5+Dashboard!$B$6)^22</f>
        <v>36.314007157804809</v>
      </c>
      <c r="AF8" s="30">
        <f>$B8*Dashboard!$B$4*(1-Dashboard!$B$5+Dashboard!$B$6)^23</f>
        <v>34.679876835703588</v>
      </c>
      <c r="AG8" s="30">
        <f>$B8*Dashboard!$B$4*(1-Dashboard!$B$5+Dashboard!$B$6)^24</f>
        <v>33.119282378096926</v>
      </c>
      <c r="AH8" s="30">
        <f>$B8*Dashboard!$B$4*(1-Dashboard!$B$5+Dashboard!$B$6)^25</f>
        <v>31.628914671082565</v>
      </c>
      <c r="AI8" s="30">
        <f>$B8*Dashboard!$B$4*(1-Dashboard!$B$5+Dashboard!$B$6)^26</f>
        <v>30.20561351088385</v>
      </c>
      <c r="AJ8" s="30">
        <f>$B8*Dashboard!$B$4*(1-Dashboard!$B$5+Dashboard!$B$6)^27</f>
        <v>28.846360902894077</v>
      </c>
      <c r="AK8" s="30">
        <f>$B8*Dashboard!$B$4*(1-Dashboard!$B$5+Dashboard!$B$6)^28</f>
        <v>27.548274662263843</v>
      </c>
      <c r="AL8" s="30">
        <f>$B8*Dashboard!$B$4*(1-Dashboard!$B$5+Dashboard!$B$6)^29</f>
        <v>26.308602302461971</v>
      </c>
      <c r="AM8" s="31">
        <f>$B8*Dashboard!$B$4*(1-Dashboard!$B$5+Dashboard!$B$6)^30</f>
        <v>25.124715198851185</v>
      </c>
      <c r="AN8" s="66">
        <f t="shared" si="0"/>
        <v>1689.0199330021578</v>
      </c>
    </row>
    <row r="9" spans="1:40" x14ac:dyDescent="0.35">
      <c r="A9" s="68" t="s">
        <v>91</v>
      </c>
      <c r="B9" s="26">
        <v>1</v>
      </c>
      <c r="C9" s="27">
        <f>B9*Dashboard!$B$4</f>
        <v>100</v>
      </c>
      <c r="D9" s="27"/>
      <c r="E9" s="27"/>
      <c r="F9" s="27"/>
      <c r="G9" s="27"/>
      <c r="H9" s="27"/>
      <c r="I9" s="27"/>
      <c r="J9" s="27">
        <f>$B9*Dashboard!$B$4</f>
        <v>100</v>
      </c>
      <c r="K9" s="27">
        <f>$B9*Dashboard!$B$4*(1-Dashboard!$B$5+Dashboard!$B$6)^1</f>
        <v>95.5</v>
      </c>
      <c r="L9" s="27">
        <f>$B9*Dashboard!$B$4*(1-Dashboard!$B$5+Dashboard!$B$6)^2</f>
        <v>91.202500000000001</v>
      </c>
      <c r="M9" s="27">
        <f>$B9*Dashboard!$B$4*(1-Dashboard!$B$5+Dashboard!$B$6)^3</f>
        <v>87.098387500000001</v>
      </c>
      <c r="N9" s="27">
        <f>$B9*Dashboard!$B$4*(1-Dashboard!$B$5+Dashboard!$B$6)^4</f>
        <v>83.178960062499996</v>
      </c>
      <c r="O9" s="27">
        <f>$B9*Dashboard!$B$4*(1-Dashboard!$B$5+Dashboard!$B$6)^5</f>
        <v>79.435906859687492</v>
      </c>
      <c r="P9" s="27">
        <f>$B9*Dashboard!$B$4*(1-Dashboard!$B$5+Dashboard!$B$6)^6</f>
        <v>75.861291051001558</v>
      </c>
      <c r="Q9" s="27">
        <f>$B9*Dashboard!$B$4*(1-Dashboard!$B$5+Dashboard!$B$6)^7</f>
        <v>72.447532953706485</v>
      </c>
      <c r="R9" s="27">
        <f>$B9*Dashboard!$B$4*(1-Dashboard!$B$5+Dashboard!$B$6)^8</f>
        <v>69.187393970789685</v>
      </c>
      <c r="S9" s="27">
        <f>$B9*Dashboard!$B$4*(1-Dashboard!$B$5+Dashboard!$B$6)^9</f>
        <v>66.073961242104147</v>
      </c>
      <c r="T9" s="27">
        <f>$B9*Dashboard!$B$4*(1-Dashboard!$B$5+Dashboard!$B$6)^10</f>
        <v>63.100632986209469</v>
      </c>
      <c r="U9" s="27">
        <f>$B9*Dashboard!$B$4*(1-Dashboard!$B$5+Dashboard!$B$6)^11</f>
        <v>60.26110450183004</v>
      </c>
      <c r="V9" s="27">
        <f>$B9*Dashboard!$B$4*(1-Dashboard!$B$5+Dashboard!$B$6)^12</f>
        <v>57.549354799247688</v>
      </c>
      <c r="W9" s="27">
        <f>$B9*Dashboard!$B$4*(1-Dashboard!$B$5+Dashboard!$B$6)^13</f>
        <v>54.959633833281544</v>
      </c>
      <c r="X9" s="27">
        <f>$B9*Dashboard!$B$4*(1-Dashboard!$B$5+Dashboard!$B$6)^14</f>
        <v>52.486450310783873</v>
      </c>
      <c r="Y9" s="27">
        <f>$B9*Dashboard!$B$4*(1-Dashboard!$B$5+Dashboard!$B$6)^15</f>
        <v>50.124560046798592</v>
      </c>
      <c r="Z9" s="27">
        <f>$B9*Dashboard!$B$4*(1-Dashboard!$B$5+Dashboard!$B$6)^16</f>
        <v>47.868954844692659</v>
      </c>
      <c r="AA9" s="27">
        <f>$B9*Dashboard!$B$4*(1-Dashboard!$B$5+Dashboard!$B$6)^17</f>
        <v>45.714851876681486</v>
      </c>
      <c r="AB9" s="27">
        <f>$B9*Dashboard!$B$4*(1-Dashboard!$B$5+Dashboard!$B$6)^18</f>
        <v>43.657683542230821</v>
      </c>
      <c r="AC9" s="27">
        <f>$B9*Dashboard!$B$4*(1-Dashboard!$B$5+Dashboard!$B$6)^19</f>
        <v>41.693087782830432</v>
      </c>
      <c r="AD9" s="27">
        <f>$B9*Dashboard!$B$4*(1-Dashboard!$B$5+Dashboard!$B$6)^20</f>
        <v>39.816898832603066</v>
      </c>
      <c r="AE9" s="27">
        <f>$B9*Dashboard!$B$4*(1-Dashboard!$B$5+Dashboard!$B$6)^21</f>
        <v>38.025138385135918</v>
      </c>
      <c r="AF9" s="27">
        <f>$B9*Dashboard!$B$4*(1-Dashboard!$B$5+Dashboard!$B$6)^22</f>
        <v>36.314007157804809</v>
      </c>
      <c r="AG9" s="27">
        <f>$B9*Dashboard!$B$4*(1-Dashboard!$B$5+Dashboard!$B$6)^23</f>
        <v>34.679876835703588</v>
      </c>
      <c r="AH9" s="27">
        <f>$B9*Dashboard!$B$4*(1-Dashboard!$B$5+Dashboard!$B$6)^24</f>
        <v>33.119282378096926</v>
      </c>
      <c r="AI9" s="27">
        <f>$B9*Dashboard!$B$4*(1-Dashboard!$B$5+Dashboard!$B$6)^25</f>
        <v>31.628914671082565</v>
      </c>
      <c r="AJ9" s="27">
        <f>$B9*Dashboard!$B$4*(1-Dashboard!$B$5+Dashboard!$B$6)^26</f>
        <v>30.20561351088385</v>
      </c>
      <c r="AK9" s="27">
        <f>$B9*Dashboard!$B$4*(1-Dashboard!$B$5+Dashboard!$B$6)^27</f>
        <v>28.846360902894077</v>
      </c>
      <c r="AL9" s="27">
        <f>$B9*Dashboard!$B$4*(1-Dashboard!$B$5+Dashboard!$B$6)^28</f>
        <v>27.548274662263843</v>
      </c>
      <c r="AM9" s="28">
        <f>$B9*Dashboard!$B$4*(1-Dashboard!$B$5+Dashboard!$B$6)^29</f>
        <v>26.308602302461971</v>
      </c>
      <c r="AN9" s="66">
        <f t="shared" si="0"/>
        <v>1663.8952178033067</v>
      </c>
    </row>
    <row r="10" spans="1:40" x14ac:dyDescent="0.35">
      <c r="A10" s="68" t="s">
        <v>92</v>
      </c>
      <c r="B10" s="29">
        <v>1</v>
      </c>
      <c r="C10" s="30">
        <f>B10*Dashboard!$B$4</f>
        <v>100</v>
      </c>
      <c r="D10" s="30"/>
      <c r="E10" s="30"/>
      <c r="F10" s="30"/>
      <c r="G10" s="30"/>
      <c r="H10" s="30"/>
      <c r="I10" s="30"/>
      <c r="J10" s="30"/>
      <c r="K10" s="30">
        <f>$B10*Dashboard!$B$4</f>
        <v>100</v>
      </c>
      <c r="L10" s="30">
        <f>$B10*Dashboard!$B$4*(1-Dashboard!$B$5+Dashboard!$B$6)^1</f>
        <v>95.5</v>
      </c>
      <c r="M10" s="30">
        <f>$B10*Dashboard!$B$4*(1-Dashboard!$B$5+Dashboard!$B$6)^2</f>
        <v>91.202500000000001</v>
      </c>
      <c r="N10" s="30">
        <f>$B10*Dashboard!$B$4*(1-Dashboard!$B$5+Dashboard!$B$6)^3</f>
        <v>87.098387500000001</v>
      </c>
      <c r="O10" s="30">
        <f>$B10*Dashboard!$B$4*(1-Dashboard!$B$5+Dashboard!$B$6)^4</f>
        <v>83.178960062499996</v>
      </c>
      <c r="P10" s="30">
        <f>$B10*Dashboard!$B$4*(1-Dashboard!$B$5+Dashboard!$B$6)^5</f>
        <v>79.435906859687492</v>
      </c>
      <c r="Q10" s="30">
        <f>$B10*Dashboard!$B$4*(1-Dashboard!$B$5+Dashboard!$B$6)^6</f>
        <v>75.861291051001558</v>
      </c>
      <c r="R10" s="30">
        <f>$B10*Dashboard!$B$4*(1-Dashboard!$B$5+Dashboard!$B$6)^7</f>
        <v>72.447532953706485</v>
      </c>
      <c r="S10" s="30">
        <f>$B10*Dashboard!$B$4*(1-Dashboard!$B$5+Dashboard!$B$6)^8</f>
        <v>69.187393970789685</v>
      </c>
      <c r="T10" s="30">
        <f>$B10*Dashboard!$B$4*(1-Dashboard!$B$5+Dashboard!$B$6)^9</f>
        <v>66.073961242104147</v>
      </c>
      <c r="U10" s="30">
        <f>$B10*Dashboard!$B$4*(1-Dashboard!$B$5+Dashboard!$B$6)^10</f>
        <v>63.100632986209469</v>
      </c>
      <c r="V10" s="30">
        <f>$B10*Dashboard!$B$4*(1-Dashboard!$B$5+Dashboard!$B$6)^11</f>
        <v>60.26110450183004</v>
      </c>
      <c r="W10" s="30">
        <f>$B10*Dashboard!$B$4*(1-Dashboard!$B$5+Dashboard!$B$6)^12</f>
        <v>57.549354799247688</v>
      </c>
      <c r="X10" s="30">
        <f>$B10*Dashboard!$B$4*(1-Dashboard!$B$5+Dashboard!$B$6)^13</f>
        <v>54.959633833281544</v>
      </c>
      <c r="Y10" s="30">
        <f>$B10*Dashboard!$B$4*(1-Dashboard!$B$5+Dashboard!$B$6)^14</f>
        <v>52.486450310783873</v>
      </c>
      <c r="Z10" s="30">
        <f>$B10*Dashboard!$B$4*(1-Dashboard!$B$5+Dashboard!$B$6)^15</f>
        <v>50.124560046798592</v>
      </c>
      <c r="AA10" s="30">
        <f>$B10*Dashboard!$B$4*(1-Dashboard!$B$5+Dashboard!$B$6)^16</f>
        <v>47.868954844692659</v>
      </c>
      <c r="AB10" s="30">
        <f>$B10*Dashboard!$B$4*(1-Dashboard!$B$5+Dashboard!$B$6)^17</f>
        <v>45.714851876681486</v>
      </c>
      <c r="AC10" s="30">
        <f>$B10*Dashboard!$B$4*(1-Dashboard!$B$5+Dashboard!$B$6)^18</f>
        <v>43.657683542230821</v>
      </c>
      <c r="AD10" s="30">
        <f>$B10*Dashboard!$B$4*(1-Dashboard!$B$5+Dashboard!$B$6)^19</f>
        <v>41.693087782830432</v>
      </c>
      <c r="AE10" s="30">
        <f>$B10*Dashboard!$B$4*(1-Dashboard!$B$5+Dashboard!$B$6)^20</f>
        <v>39.816898832603066</v>
      </c>
      <c r="AF10" s="30">
        <f>$B10*Dashboard!$B$4*(1-Dashboard!$B$5+Dashboard!$B$6)^21</f>
        <v>38.025138385135918</v>
      </c>
      <c r="AG10" s="30">
        <f>$B10*Dashboard!$B$4*(1-Dashboard!$B$5+Dashboard!$B$6)^22</f>
        <v>36.314007157804809</v>
      </c>
      <c r="AH10" s="30">
        <f>$B10*Dashboard!$B$4*(1-Dashboard!$B$5+Dashboard!$B$6)^23</f>
        <v>34.679876835703588</v>
      </c>
      <c r="AI10" s="30">
        <f>$B10*Dashboard!$B$4*(1-Dashboard!$B$5+Dashboard!$B$6)^24</f>
        <v>33.119282378096926</v>
      </c>
      <c r="AJ10" s="30">
        <f>$B10*Dashboard!$B$4*(1-Dashboard!$B$5+Dashboard!$B$6)^25</f>
        <v>31.628914671082565</v>
      </c>
      <c r="AK10" s="30">
        <f>$B10*Dashboard!$B$4*(1-Dashboard!$B$5+Dashboard!$B$6)^26</f>
        <v>30.20561351088385</v>
      </c>
      <c r="AL10" s="30">
        <f>$B10*Dashboard!$B$4*(1-Dashboard!$B$5+Dashboard!$B$6)^27</f>
        <v>28.846360902894077</v>
      </c>
      <c r="AM10" s="31">
        <f>$B10*Dashboard!$B$4*(1-Dashboard!$B$5+Dashboard!$B$6)^28</f>
        <v>27.548274662263843</v>
      </c>
      <c r="AN10" s="66">
        <f t="shared" si="0"/>
        <v>1637.5866155008446</v>
      </c>
    </row>
    <row r="11" spans="1:40" x14ac:dyDescent="0.35">
      <c r="A11" s="68" t="s">
        <v>93</v>
      </c>
      <c r="B11" s="26">
        <v>1</v>
      </c>
      <c r="C11" s="27">
        <f>B11*Dashboard!$B$4</f>
        <v>100</v>
      </c>
      <c r="D11" s="27"/>
      <c r="E11" s="27"/>
      <c r="F11" s="27"/>
      <c r="G11" s="27"/>
      <c r="H11" s="27"/>
      <c r="I11" s="27"/>
      <c r="J11" s="27"/>
      <c r="K11" s="27"/>
      <c r="L11" s="27">
        <f>$B11*Dashboard!$B$4</f>
        <v>100</v>
      </c>
      <c r="M11" s="27">
        <f>$B11*Dashboard!$B$4*(1-Dashboard!$B$5+Dashboard!$B$6)^1</f>
        <v>95.5</v>
      </c>
      <c r="N11" s="27">
        <f>$B11*Dashboard!$B$4*(1-Dashboard!$B$5+Dashboard!$B$6)^2</f>
        <v>91.202500000000001</v>
      </c>
      <c r="O11" s="27">
        <f>$B11*Dashboard!$B$4*(1-Dashboard!$B$5+Dashboard!$B$6)^3</f>
        <v>87.098387500000001</v>
      </c>
      <c r="P11" s="27">
        <f>$B11*Dashboard!$B$4*(1-Dashboard!$B$5+Dashboard!$B$6)^4</f>
        <v>83.178960062499996</v>
      </c>
      <c r="Q11" s="27">
        <f>$B11*Dashboard!$B$4*(1-Dashboard!$B$5+Dashboard!$B$6)^5</f>
        <v>79.435906859687492</v>
      </c>
      <c r="R11" s="27">
        <f>$B11*Dashboard!$B$4*(1-Dashboard!$B$5+Dashboard!$B$6)^6</f>
        <v>75.861291051001558</v>
      </c>
      <c r="S11" s="27">
        <f>$B11*Dashboard!$B$4*(1-Dashboard!$B$5+Dashboard!$B$6)^7</f>
        <v>72.447532953706485</v>
      </c>
      <c r="T11" s="27">
        <f>$B11*Dashboard!$B$4*(1-Dashboard!$B$5+Dashboard!$B$6)^8</f>
        <v>69.187393970789685</v>
      </c>
      <c r="U11" s="27">
        <f>$B11*Dashboard!$B$4*(1-Dashboard!$B$5+Dashboard!$B$6)^9</f>
        <v>66.073961242104147</v>
      </c>
      <c r="V11" s="27">
        <f>$B11*Dashboard!$B$4*(1-Dashboard!$B$5+Dashboard!$B$6)^10</f>
        <v>63.100632986209469</v>
      </c>
      <c r="W11" s="27">
        <f>$B11*Dashboard!$B$4*(1-Dashboard!$B$5+Dashboard!$B$6)^11</f>
        <v>60.26110450183004</v>
      </c>
      <c r="X11" s="27">
        <f>$B11*Dashboard!$B$4*(1-Dashboard!$B$5+Dashboard!$B$6)^12</f>
        <v>57.549354799247688</v>
      </c>
      <c r="Y11" s="27">
        <f>$B11*Dashboard!$B$4*(1-Dashboard!$B$5+Dashboard!$B$6)^13</f>
        <v>54.959633833281544</v>
      </c>
      <c r="Z11" s="27">
        <f>$B11*Dashboard!$B$4*(1-Dashboard!$B$5+Dashboard!$B$6)^14</f>
        <v>52.486450310783873</v>
      </c>
      <c r="AA11" s="27">
        <f>$B11*Dashboard!$B$4*(1-Dashboard!$B$5+Dashboard!$B$6)^15</f>
        <v>50.124560046798592</v>
      </c>
      <c r="AB11" s="27">
        <f>$B11*Dashboard!$B$4*(1-Dashboard!$B$5+Dashboard!$B$6)^16</f>
        <v>47.868954844692659</v>
      </c>
      <c r="AC11" s="27">
        <f>$B11*Dashboard!$B$4*(1-Dashboard!$B$5+Dashboard!$B$6)^17</f>
        <v>45.714851876681486</v>
      </c>
      <c r="AD11" s="27">
        <f>$B11*Dashboard!$B$4*(1-Dashboard!$B$5+Dashboard!$B$6)^18</f>
        <v>43.657683542230821</v>
      </c>
      <c r="AE11" s="27">
        <f>$B11*Dashboard!$B$4*(1-Dashboard!$B$5+Dashboard!$B$6)^19</f>
        <v>41.693087782830432</v>
      </c>
      <c r="AF11" s="27">
        <f>$B11*Dashboard!$B$4*(1-Dashboard!$B$5+Dashboard!$B$6)^20</f>
        <v>39.816898832603066</v>
      </c>
      <c r="AG11" s="27">
        <f>$B11*Dashboard!$B$4*(1-Dashboard!$B$5+Dashboard!$B$6)^21</f>
        <v>38.025138385135918</v>
      </c>
      <c r="AH11" s="27">
        <f>$B11*Dashboard!$B$4*(1-Dashboard!$B$5+Dashboard!$B$6)^22</f>
        <v>36.314007157804809</v>
      </c>
      <c r="AI11" s="27">
        <f>$B11*Dashboard!$B$4*(1-Dashboard!$B$5+Dashboard!$B$6)^23</f>
        <v>34.679876835703588</v>
      </c>
      <c r="AJ11" s="27">
        <f>$B11*Dashboard!$B$4*(1-Dashboard!$B$5+Dashboard!$B$6)^24</f>
        <v>33.119282378096926</v>
      </c>
      <c r="AK11" s="27">
        <f>$B11*Dashboard!$B$4*(1-Dashboard!$B$5+Dashboard!$B$6)^25</f>
        <v>31.628914671082565</v>
      </c>
      <c r="AL11" s="27">
        <f>$B11*Dashboard!$B$4*(1-Dashboard!$B$5+Dashboard!$B$6)^26</f>
        <v>30.20561351088385</v>
      </c>
      <c r="AM11" s="28">
        <f>$B11*Dashboard!$B$4*(1-Dashboard!$B$5+Dashboard!$B$6)^27</f>
        <v>28.846360902894077</v>
      </c>
      <c r="AN11" s="66">
        <f t="shared" si="0"/>
        <v>1610.0383408385808</v>
      </c>
    </row>
    <row r="12" spans="1:40" x14ac:dyDescent="0.35">
      <c r="A12" s="68" t="s">
        <v>94</v>
      </c>
      <c r="B12" s="29">
        <v>2</v>
      </c>
      <c r="C12" s="30">
        <f>B12*Dashboard!$B$4</f>
        <v>200</v>
      </c>
      <c r="D12" s="30"/>
      <c r="E12" s="30"/>
      <c r="F12" s="30"/>
      <c r="G12" s="30"/>
      <c r="H12" s="30"/>
      <c r="I12" s="30"/>
      <c r="J12" s="30"/>
      <c r="K12" s="30"/>
      <c r="L12" s="30"/>
      <c r="M12" s="30">
        <f>$B12*Dashboard!$B$4</f>
        <v>200</v>
      </c>
      <c r="N12" s="30">
        <f>$B12*Dashboard!$B$4*(1-Dashboard!$B$5+Dashboard!$B$6)^1</f>
        <v>191</v>
      </c>
      <c r="O12" s="30">
        <f>$B12*Dashboard!$B$4*(1-Dashboard!$B$5+Dashboard!$B$6)^2</f>
        <v>182.405</v>
      </c>
      <c r="P12" s="30">
        <f>$B12*Dashboard!$B$4*(1-Dashboard!$B$5+Dashboard!$B$6)^3</f>
        <v>174.196775</v>
      </c>
      <c r="Q12" s="30">
        <f>$B12*Dashboard!$B$4*(1-Dashboard!$B$5+Dashboard!$B$6)^4</f>
        <v>166.35792012499999</v>
      </c>
      <c r="R12" s="30">
        <f>$B12*Dashboard!$B$4*(1-Dashboard!$B$5+Dashboard!$B$6)^5</f>
        <v>158.87181371937498</v>
      </c>
      <c r="S12" s="30">
        <f>$B12*Dashboard!$B$4*(1-Dashboard!$B$5+Dashboard!$B$6)^6</f>
        <v>151.72258210200312</v>
      </c>
      <c r="T12" s="30">
        <f>$B12*Dashboard!$B$4*(1-Dashboard!$B$5+Dashboard!$B$6)^7</f>
        <v>144.89506590741297</v>
      </c>
      <c r="U12" s="30">
        <f>$B12*Dashboard!$B$4*(1-Dashboard!$B$5+Dashboard!$B$6)^8</f>
        <v>138.37478794157937</v>
      </c>
      <c r="V12" s="30">
        <f>$B12*Dashboard!$B$4*(1-Dashboard!$B$5+Dashboard!$B$6)^9</f>
        <v>132.14792248420829</v>
      </c>
      <c r="W12" s="30">
        <f>$B12*Dashboard!$B$4*(1-Dashboard!$B$5+Dashboard!$B$6)^10</f>
        <v>126.20126597241894</v>
      </c>
      <c r="X12" s="30">
        <f>$B12*Dashboard!$B$4*(1-Dashboard!$B$5+Dashboard!$B$6)^11</f>
        <v>120.52220900366008</v>
      </c>
      <c r="Y12" s="30">
        <f>$B12*Dashboard!$B$4*(1-Dashboard!$B$5+Dashboard!$B$6)^12</f>
        <v>115.09870959849538</v>
      </c>
      <c r="Z12" s="30">
        <f>$B12*Dashboard!$B$4*(1-Dashboard!$B$5+Dashboard!$B$6)^13</f>
        <v>109.91926766656309</v>
      </c>
      <c r="AA12" s="30">
        <f>$B12*Dashboard!$B$4*(1-Dashboard!$B$5+Dashboard!$B$6)^14</f>
        <v>104.97290062156775</v>
      </c>
      <c r="AB12" s="30">
        <f>$B12*Dashboard!$B$4*(1-Dashboard!$B$5+Dashboard!$B$6)^15</f>
        <v>100.24912009359718</v>
      </c>
      <c r="AC12" s="30">
        <f>$B12*Dashboard!$B$4*(1-Dashboard!$B$5+Dashboard!$B$6)^16</f>
        <v>95.737909689385319</v>
      </c>
      <c r="AD12" s="30">
        <f>$B12*Dashboard!$B$4*(1-Dashboard!$B$5+Dashboard!$B$6)^17</f>
        <v>91.429703753362972</v>
      </c>
      <c r="AE12" s="30">
        <f>$B12*Dashboard!$B$4*(1-Dashboard!$B$5+Dashboard!$B$6)^18</f>
        <v>87.315367084461641</v>
      </c>
      <c r="AF12" s="30">
        <f>$B12*Dashboard!$B$4*(1-Dashboard!$B$5+Dashboard!$B$6)^19</f>
        <v>83.386175565660864</v>
      </c>
      <c r="AG12" s="30">
        <f>$B12*Dashboard!$B$4*(1-Dashboard!$B$5+Dashboard!$B$6)^20</f>
        <v>79.633797665206131</v>
      </c>
      <c r="AH12" s="30">
        <f>$B12*Dashboard!$B$4*(1-Dashboard!$B$5+Dashboard!$B$6)^21</f>
        <v>76.050276770271836</v>
      </c>
      <c r="AI12" s="30">
        <f>$B12*Dashboard!$B$4*(1-Dashboard!$B$5+Dashboard!$B$6)^22</f>
        <v>72.628014315609619</v>
      </c>
      <c r="AJ12" s="30">
        <f>$B12*Dashboard!$B$4*(1-Dashboard!$B$5+Dashboard!$B$6)^23</f>
        <v>69.359753671407177</v>
      </c>
      <c r="AK12" s="30">
        <f>$B12*Dashboard!$B$4*(1-Dashboard!$B$5+Dashboard!$B$6)^24</f>
        <v>66.238564756193853</v>
      </c>
      <c r="AL12" s="30">
        <f>$B12*Dashboard!$B$4*(1-Dashboard!$B$5+Dashboard!$B$6)^25</f>
        <v>63.257829342165131</v>
      </c>
      <c r="AM12" s="31">
        <f>$B12*Dashboard!$B$4*(1-Dashboard!$B$5+Dashboard!$B$6)^26</f>
        <v>60.411227021767701</v>
      </c>
      <c r="AN12" s="66">
        <f t="shared" si="0"/>
        <v>3162.3839598713735</v>
      </c>
    </row>
    <row r="13" spans="1:40" x14ac:dyDescent="0.35">
      <c r="A13" s="68" t="s">
        <v>95</v>
      </c>
      <c r="B13" s="26">
        <v>2</v>
      </c>
      <c r="C13" s="27">
        <f>B13*Dashboard!$B$4</f>
        <v>200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>
        <f>$B13*Dashboard!$B$4</f>
        <v>200</v>
      </c>
      <c r="O13" s="27">
        <f>$B13*Dashboard!$B$4*(1-Dashboard!$B$5+Dashboard!$B$6)^1</f>
        <v>191</v>
      </c>
      <c r="P13" s="27">
        <f>$B13*Dashboard!$B$4*(1-Dashboard!$B$5+Dashboard!$B$6)^2</f>
        <v>182.405</v>
      </c>
      <c r="Q13" s="27">
        <f>$B13*Dashboard!$B$4*(1-Dashboard!$B$5+Dashboard!$B$6)^3</f>
        <v>174.196775</v>
      </c>
      <c r="R13" s="27">
        <f>$B13*Dashboard!$B$4*(1-Dashboard!$B$5+Dashboard!$B$6)^4</f>
        <v>166.35792012499999</v>
      </c>
      <c r="S13" s="27">
        <f>$B13*Dashboard!$B$4*(1-Dashboard!$B$5+Dashboard!$B$6)^5</f>
        <v>158.87181371937498</v>
      </c>
      <c r="T13" s="27">
        <f>$B13*Dashboard!$B$4*(1-Dashboard!$B$5+Dashboard!$B$6)^6</f>
        <v>151.72258210200312</v>
      </c>
      <c r="U13" s="27">
        <f>$B13*Dashboard!$B$4*(1-Dashboard!$B$5+Dashboard!$B$6)^7</f>
        <v>144.89506590741297</v>
      </c>
      <c r="V13" s="27">
        <f>$B13*Dashboard!$B$4*(1-Dashboard!$B$5+Dashboard!$B$6)^8</f>
        <v>138.37478794157937</v>
      </c>
      <c r="W13" s="27">
        <f>$B13*Dashboard!$B$4*(1-Dashboard!$B$5+Dashboard!$B$6)^9</f>
        <v>132.14792248420829</v>
      </c>
      <c r="X13" s="27">
        <f>$B13*Dashboard!$B$4*(1-Dashboard!$B$5+Dashboard!$B$6)^10</f>
        <v>126.20126597241894</v>
      </c>
      <c r="Y13" s="27">
        <f>$B13*Dashboard!$B$4*(1-Dashboard!$B$5+Dashboard!$B$6)^11</f>
        <v>120.52220900366008</v>
      </c>
      <c r="Z13" s="27">
        <f>$B13*Dashboard!$B$4*(1-Dashboard!$B$5+Dashboard!$B$6)^12</f>
        <v>115.09870959849538</v>
      </c>
      <c r="AA13" s="27">
        <f>$B13*Dashboard!$B$4*(1-Dashboard!$B$5+Dashboard!$B$6)^13</f>
        <v>109.91926766656309</v>
      </c>
      <c r="AB13" s="27">
        <f>$B13*Dashboard!$B$4*(1-Dashboard!$B$5+Dashboard!$B$6)^14</f>
        <v>104.97290062156775</v>
      </c>
      <c r="AC13" s="27">
        <f>$B13*Dashboard!$B$4*(1-Dashboard!$B$5+Dashboard!$B$6)^15</f>
        <v>100.24912009359718</v>
      </c>
      <c r="AD13" s="27">
        <f>$B13*Dashboard!$B$4*(1-Dashboard!$B$5+Dashboard!$B$6)^16</f>
        <v>95.737909689385319</v>
      </c>
      <c r="AE13" s="27">
        <f>$B13*Dashboard!$B$4*(1-Dashboard!$B$5+Dashboard!$B$6)^17</f>
        <v>91.429703753362972</v>
      </c>
      <c r="AF13" s="27">
        <f>$B13*Dashboard!$B$4*(1-Dashboard!$B$5+Dashboard!$B$6)^18</f>
        <v>87.315367084461641</v>
      </c>
      <c r="AG13" s="27">
        <f>$B13*Dashboard!$B$4*(1-Dashboard!$B$5+Dashboard!$B$6)^19</f>
        <v>83.386175565660864</v>
      </c>
      <c r="AH13" s="27">
        <f>$B13*Dashboard!$B$4*(1-Dashboard!$B$5+Dashboard!$B$6)^20</f>
        <v>79.633797665206131</v>
      </c>
      <c r="AI13" s="27">
        <f>$B13*Dashboard!$B$4*(1-Dashboard!$B$5+Dashboard!$B$6)^21</f>
        <v>76.050276770271836</v>
      </c>
      <c r="AJ13" s="27">
        <f>$B13*Dashboard!$B$4*(1-Dashboard!$B$5+Dashboard!$B$6)^22</f>
        <v>72.628014315609619</v>
      </c>
      <c r="AK13" s="27">
        <f>$B13*Dashboard!$B$4*(1-Dashboard!$B$5+Dashboard!$B$6)^23</f>
        <v>69.359753671407177</v>
      </c>
      <c r="AL13" s="27">
        <f>$B13*Dashboard!$B$4*(1-Dashboard!$B$5+Dashboard!$B$6)^24</f>
        <v>66.238564756193853</v>
      </c>
      <c r="AM13" s="28">
        <f>$B13*Dashboard!$B$4*(1-Dashboard!$B$5+Dashboard!$B$6)^25</f>
        <v>63.257829342165131</v>
      </c>
      <c r="AN13" s="66">
        <f t="shared" si="0"/>
        <v>3101.9727328496056</v>
      </c>
    </row>
    <row r="14" spans="1:40" x14ac:dyDescent="0.35">
      <c r="A14" s="68" t="s">
        <v>96</v>
      </c>
      <c r="B14" s="29">
        <v>2</v>
      </c>
      <c r="C14" s="30">
        <f>B14*Dashboard!$B$4</f>
        <v>200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>
        <f>$B14*Dashboard!$B$4</f>
        <v>200</v>
      </c>
      <c r="P14" s="30">
        <f>$B14*Dashboard!$B$4*(1-Dashboard!$B$5+Dashboard!$B$6)^1</f>
        <v>191</v>
      </c>
      <c r="Q14" s="30">
        <f>$B14*Dashboard!$B$4*(1-Dashboard!$B$5+Dashboard!$B$6)^2</f>
        <v>182.405</v>
      </c>
      <c r="R14" s="30">
        <f>$B14*Dashboard!$B$4*(1-Dashboard!$B$5+Dashboard!$B$6)^3</f>
        <v>174.196775</v>
      </c>
      <c r="S14" s="30">
        <f>$B14*Dashboard!$B$4*(1-Dashboard!$B$5+Dashboard!$B$6)^4</f>
        <v>166.35792012499999</v>
      </c>
      <c r="T14" s="30">
        <f>$B14*Dashboard!$B$4*(1-Dashboard!$B$5+Dashboard!$B$6)^5</f>
        <v>158.87181371937498</v>
      </c>
      <c r="U14" s="30">
        <f>$B14*Dashboard!$B$4*(1-Dashboard!$B$5+Dashboard!$B$6)^6</f>
        <v>151.72258210200312</v>
      </c>
      <c r="V14" s="30">
        <f>$B14*Dashboard!$B$4*(1-Dashboard!$B$5+Dashboard!$B$6)^7</f>
        <v>144.89506590741297</v>
      </c>
      <c r="W14" s="30">
        <f>$B14*Dashboard!$B$4*(1-Dashboard!$B$5+Dashboard!$B$6)^8</f>
        <v>138.37478794157937</v>
      </c>
      <c r="X14" s="30">
        <f>$B14*Dashboard!$B$4*(1-Dashboard!$B$5+Dashboard!$B$6)^9</f>
        <v>132.14792248420829</v>
      </c>
      <c r="Y14" s="30">
        <f>$B14*Dashboard!$B$4*(1-Dashboard!$B$5+Dashboard!$B$6)^10</f>
        <v>126.20126597241894</v>
      </c>
      <c r="Z14" s="30">
        <f>$B14*Dashboard!$B$4*(1-Dashboard!$B$5+Dashboard!$B$6)^11</f>
        <v>120.52220900366008</v>
      </c>
      <c r="AA14" s="30">
        <f>$B14*Dashboard!$B$4*(1-Dashboard!$B$5+Dashboard!$B$6)^12</f>
        <v>115.09870959849538</v>
      </c>
      <c r="AB14" s="30">
        <f>$B14*Dashboard!$B$4*(1-Dashboard!$B$5+Dashboard!$B$6)^13</f>
        <v>109.91926766656309</v>
      </c>
      <c r="AC14" s="30">
        <f>$B14*Dashboard!$B$4*(1-Dashboard!$B$5+Dashboard!$B$6)^14</f>
        <v>104.97290062156775</v>
      </c>
      <c r="AD14" s="30">
        <f>$B14*Dashboard!$B$4*(1-Dashboard!$B$5+Dashboard!$B$6)^15</f>
        <v>100.24912009359718</v>
      </c>
      <c r="AE14" s="30">
        <f>$B14*Dashboard!$B$4*(1-Dashboard!$B$5+Dashboard!$B$6)^16</f>
        <v>95.737909689385319</v>
      </c>
      <c r="AF14" s="30">
        <f>$B14*Dashboard!$B$4*(1-Dashboard!$B$5+Dashboard!$B$6)^17</f>
        <v>91.429703753362972</v>
      </c>
      <c r="AG14" s="30">
        <f>$B14*Dashboard!$B$4*(1-Dashboard!$B$5+Dashboard!$B$6)^18</f>
        <v>87.315367084461641</v>
      </c>
      <c r="AH14" s="30">
        <f>$B14*Dashboard!$B$4*(1-Dashboard!$B$5+Dashboard!$B$6)^19</f>
        <v>83.386175565660864</v>
      </c>
      <c r="AI14" s="30">
        <f>$B14*Dashboard!$B$4*(1-Dashboard!$B$5+Dashboard!$B$6)^20</f>
        <v>79.633797665206131</v>
      </c>
      <c r="AJ14" s="30">
        <f>$B14*Dashboard!$B$4*(1-Dashboard!$B$5+Dashboard!$B$6)^21</f>
        <v>76.050276770271836</v>
      </c>
      <c r="AK14" s="30">
        <f>$B14*Dashboard!$B$4*(1-Dashboard!$B$5+Dashboard!$B$6)^22</f>
        <v>72.628014315609619</v>
      </c>
      <c r="AL14" s="30">
        <f>$B14*Dashboard!$B$4*(1-Dashboard!$B$5+Dashboard!$B$6)^23</f>
        <v>69.359753671407177</v>
      </c>
      <c r="AM14" s="31">
        <f>$B14*Dashboard!$B$4*(1-Dashboard!$B$5+Dashboard!$B$6)^24</f>
        <v>66.238564756193853</v>
      </c>
      <c r="AN14" s="66">
        <f t="shared" si="0"/>
        <v>3038.7149035074403</v>
      </c>
    </row>
    <row r="15" spans="1:40" x14ac:dyDescent="0.35">
      <c r="A15" s="68" t="s">
        <v>97</v>
      </c>
      <c r="B15" s="26">
        <v>2</v>
      </c>
      <c r="C15" s="27">
        <f>B15*Dashboard!$B$4</f>
        <v>200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>
        <f>$B15*Dashboard!$B$4</f>
        <v>200</v>
      </c>
      <c r="Q15" s="27">
        <f>$B15*Dashboard!$B$4*(1-Dashboard!$B$5+Dashboard!$B$6)^1</f>
        <v>191</v>
      </c>
      <c r="R15" s="27">
        <f>$B15*Dashboard!$B$4*(1-Dashboard!$B$5+Dashboard!$B$6)^2</f>
        <v>182.405</v>
      </c>
      <c r="S15" s="27">
        <f>$B15*Dashboard!$B$4*(1-Dashboard!$B$5+Dashboard!$B$6)^3</f>
        <v>174.196775</v>
      </c>
      <c r="T15" s="27">
        <f>$B15*Dashboard!$B$4*(1-Dashboard!$B$5+Dashboard!$B$6)^4</f>
        <v>166.35792012499999</v>
      </c>
      <c r="U15" s="27">
        <f>$B15*Dashboard!$B$4*(1-Dashboard!$B$5+Dashboard!$B$6)^5</f>
        <v>158.87181371937498</v>
      </c>
      <c r="V15" s="27">
        <f>$B15*Dashboard!$B$4*(1-Dashboard!$B$5+Dashboard!$B$6)^6</f>
        <v>151.72258210200312</v>
      </c>
      <c r="W15" s="27">
        <f>$B15*Dashboard!$B$4*(1-Dashboard!$B$5+Dashboard!$B$6)^7</f>
        <v>144.89506590741297</v>
      </c>
      <c r="X15" s="27">
        <f>$B15*Dashboard!$B$4*(1-Dashboard!$B$5+Dashboard!$B$6)^8</f>
        <v>138.37478794157937</v>
      </c>
      <c r="Y15" s="27">
        <f>$B15*Dashboard!$B$4*(1-Dashboard!$B$5+Dashboard!$B$6)^9</f>
        <v>132.14792248420829</v>
      </c>
      <c r="Z15" s="27">
        <f>$B15*Dashboard!$B$4*(1-Dashboard!$B$5+Dashboard!$B$6)^10</f>
        <v>126.20126597241894</v>
      </c>
      <c r="AA15" s="27">
        <f>$B15*Dashboard!$B$4*(1-Dashboard!$B$5+Dashboard!$B$6)^11</f>
        <v>120.52220900366008</v>
      </c>
      <c r="AB15" s="27">
        <f>$B15*Dashboard!$B$4*(1-Dashboard!$B$5+Dashboard!$B$6)^12</f>
        <v>115.09870959849538</v>
      </c>
      <c r="AC15" s="27">
        <f>$B15*Dashboard!$B$4*(1-Dashboard!$B$5+Dashboard!$B$6)^13</f>
        <v>109.91926766656309</v>
      </c>
      <c r="AD15" s="27">
        <f>$B15*Dashboard!$B$4*(1-Dashboard!$B$5+Dashboard!$B$6)^14</f>
        <v>104.97290062156775</v>
      </c>
      <c r="AE15" s="27">
        <f>$B15*Dashboard!$B$4*(1-Dashboard!$B$5+Dashboard!$B$6)^15</f>
        <v>100.24912009359718</v>
      </c>
      <c r="AF15" s="27">
        <f>$B15*Dashboard!$B$4*(1-Dashboard!$B$5+Dashboard!$B$6)^16</f>
        <v>95.737909689385319</v>
      </c>
      <c r="AG15" s="27">
        <f>$B15*Dashboard!$B$4*(1-Dashboard!$B$5+Dashboard!$B$6)^17</f>
        <v>91.429703753362972</v>
      </c>
      <c r="AH15" s="27">
        <f>$B15*Dashboard!$B$4*(1-Dashboard!$B$5+Dashboard!$B$6)^18</f>
        <v>87.315367084461641</v>
      </c>
      <c r="AI15" s="27">
        <f>$B15*Dashboard!$B$4*(1-Dashboard!$B$5+Dashboard!$B$6)^19</f>
        <v>83.386175565660864</v>
      </c>
      <c r="AJ15" s="27">
        <f>$B15*Dashboard!$B$4*(1-Dashboard!$B$5+Dashboard!$B$6)^20</f>
        <v>79.633797665206131</v>
      </c>
      <c r="AK15" s="27">
        <f>$B15*Dashboard!$B$4*(1-Dashboard!$B$5+Dashboard!$B$6)^21</f>
        <v>76.050276770271836</v>
      </c>
      <c r="AL15" s="27">
        <f>$B15*Dashboard!$B$4*(1-Dashboard!$B$5+Dashboard!$B$6)^22</f>
        <v>72.628014315609619</v>
      </c>
      <c r="AM15" s="28">
        <f>$B15*Dashboard!$B$4*(1-Dashboard!$B$5+Dashboard!$B$6)^23</f>
        <v>69.359753671407177</v>
      </c>
      <c r="AN15" s="66">
        <f t="shared" si="0"/>
        <v>2972.4763387512467</v>
      </c>
    </row>
    <row r="16" spans="1:40" x14ac:dyDescent="0.35">
      <c r="A16" s="68" t="s">
        <v>98</v>
      </c>
      <c r="B16" s="29">
        <v>2</v>
      </c>
      <c r="C16" s="30">
        <f>B16*Dashboard!$B$4</f>
        <v>200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>
        <f>$B16*Dashboard!$B$4</f>
        <v>200</v>
      </c>
      <c r="R16" s="30">
        <f>$B16*Dashboard!$B$4*(1-Dashboard!$B$5+Dashboard!$B$6)^1</f>
        <v>191</v>
      </c>
      <c r="S16" s="30">
        <f>$B16*Dashboard!$B$4*(1-Dashboard!$B$5+Dashboard!$B$6)^2</f>
        <v>182.405</v>
      </c>
      <c r="T16" s="30">
        <f>$B16*Dashboard!$B$4*(1-Dashboard!$B$5+Dashboard!$B$6)^3</f>
        <v>174.196775</v>
      </c>
      <c r="U16" s="30">
        <f>$B16*Dashboard!$B$4*(1-Dashboard!$B$5+Dashboard!$B$6)^4</f>
        <v>166.35792012499999</v>
      </c>
      <c r="V16" s="30">
        <f>$B16*Dashboard!$B$4*(1-Dashboard!$B$5+Dashboard!$B$6)^5</f>
        <v>158.87181371937498</v>
      </c>
      <c r="W16" s="30">
        <f>$B16*Dashboard!$B$4*(1-Dashboard!$B$5+Dashboard!$B$6)^6</f>
        <v>151.72258210200312</v>
      </c>
      <c r="X16" s="30">
        <f>$B16*Dashboard!$B$4*(1-Dashboard!$B$5+Dashboard!$B$6)^7</f>
        <v>144.89506590741297</v>
      </c>
      <c r="Y16" s="30">
        <f>$B16*Dashboard!$B$4*(1-Dashboard!$B$5+Dashboard!$B$6)^8</f>
        <v>138.37478794157937</v>
      </c>
      <c r="Z16" s="30">
        <f>$B16*Dashboard!$B$4*(1-Dashboard!$B$5+Dashboard!$B$6)^9</f>
        <v>132.14792248420829</v>
      </c>
      <c r="AA16" s="30">
        <f>$B16*Dashboard!$B$4*(1-Dashboard!$B$5+Dashboard!$B$6)^10</f>
        <v>126.20126597241894</v>
      </c>
      <c r="AB16" s="30">
        <f>$B16*Dashboard!$B$4*(1-Dashboard!$B$5+Dashboard!$B$6)^11</f>
        <v>120.52220900366008</v>
      </c>
      <c r="AC16" s="30">
        <f>$B16*Dashboard!$B$4*(1-Dashboard!$B$5+Dashboard!$B$6)^12</f>
        <v>115.09870959849538</v>
      </c>
      <c r="AD16" s="30">
        <f>$B16*Dashboard!$B$4*(1-Dashboard!$B$5+Dashboard!$B$6)^13</f>
        <v>109.91926766656309</v>
      </c>
      <c r="AE16" s="30">
        <f>$B16*Dashboard!$B$4*(1-Dashboard!$B$5+Dashboard!$B$6)^14</f>
        <v>104.97290062156775</v>
      </c>
      <c r="AF16" s="30">
        <f>$B16*Dashboard!$B$4*(1-Dashboard!$B$5+Dashboard!$B$6)^15</f>
        <v>100.24912009359718</v>
      </c>
      <c r="AG16" s="30">
        <f>$B16*Dashboard!$B$4*(1-Dashboard!$B$5+Dashboard!$B$6)^16</f>
        <v>95.737909689385319</v>
      </c>
      <c r="AH16" s="30">
        <f>$B16*Dashboard!$B$4*(1-Dashboard!$B$5+Dashboard!$B$6)^17</f>
        <v>91.429703753362972</v>
      </c>
      <c r="AI16" s="30">
        <f>$B16*Dashboard!$B$4*(1-Dashboard!$B$5+Dashboard!$B$6)^18</f>
        <v>87.315367084461641</v>
      </c>
      <c r="AJ16" s="30">
        <f>$B16*Dashboard!$B$4*(1-Dashboard!$B$5+Dashboard!$B$6)^19</f>
        <v>83.386175565660864</v>
      </c>
      <c r="AK16" s="30">
        <f>$B16*Dashboard!$B$4*(1-Dashboard!$B$5+Dashboard!$B$6)^20</f>
        <v>79.633797665206131</v>
      </c>
      <c r="AL16" s="30">
        <f>$B16*Dashboard!$B$4*(1-Dashboard!$B$5+Dashboard!$B$6)^21</f>
        <v>76.050276770271836</v>
      </c>
      <c r="AM16" s="31">
        <f>$B16*Dashboard!$B$4*(1-Dashboard!$B$5+Dashboard!$B$6)^22</f>
        <v>72.628014315609619</v>
      </c>
      <c r="AN16" s="66">
        <f t="shared" si="0"/>
        <v>2903.1165850798393</v>
      </c>
    </row>
    <row r="17" spans="1:40" x14ac:dyDescent="0.35">
      <c r="A17" s="68" t="s">
        <v>99</v>
      </c>
      <c r="B17" s="26">
        <v>2</v>
      </c>
      <c r="C17" s="27">
        <f>B17*Dashboard!$B$4</f>
        <v>200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>
        <f>$B17*Dashboard!$B$4</f>
        <v>200</v>
      </c>
      <c r="S17" s="27">
        <f>$B17*Dashboard!$B$4*(1-Dashboard!$B$5+Dashboard!$B$6)^1</f>
        <v>191</v>
      </c>
      <c r="T17" s="27">
        <f>$B17*Dashboard!$B$4*(1-Dashboard!$B$5+Dashboard!$B$6)^2</f>
        <v>182.405</v>
      </c>
      <c r="U17" s="27">
        <f>$B17*Dashboard!$B$4*(1-Dashboard!$B$5+Dashboard!$B$6)^3</f>
        <v>174.196775</v>
      </c>
      <c r="V17" s="27">
        <f>$B17*Dashboard!$B$4*(1-Dashboard!$B$5+Dashboard!$B$6)^4</f>
        <v>166.35792012499999</v>
      </c>
      <c r="W17" s="27">
        <f>$B17*Dashboard!$B$4*(1-Dashboard!$B$5+Dashboard!$B$6)^5</f>
        <v>158.87181371937498</v>
      </c>
      <c r="X17" s="27">
        <f>$B17*Dashboard!$B$4*(1-Dashboard!$B$5+Dashboard!$B$6)^6</f>
        <v>151.72258210200312</v>
      </c>
      <c r="Y17" s="27">
        <f>$B17*Dashboard!$B$4*(1-Dashboard!$B$5+Dashboard!$B$6)^7</f>
        <v>144.89506590741297</v>
      </c>
      <c r="Z17" s="27">
        <f>$B17*Dashboard!$B$4*(1-Dashboard!$B$5+Dashboard!$B$6)^8</f>
        <v>138.37478794157937</v>
      </c>
      <c r="AA17" s="27">
        <f>$B17*Dashboard!$B$4*(1-Dashboard!$B$5+Dashboard!$B$6)^9</f>
        <v>132.14792248420829</v>
      </c>
      <c r="AB17" s="27">
        <f>$B17*Dashboard!$B$4*(1-Dashboard!$B$5+Dashboard!$B$6)^10</f>
        <v>126.20126597241894</v>
      </c>
      <c r="AC17" s="27">
        <f>$B17*Dashboard!$B$4*(1-Dashboard!$B$5+Dashboard!$B$6)^11</f>
        <v>120.52220900366008</v>
      </c>
      <c r="AD17" s="27">
        <f>$B17*Dashboard!$B$4*(1-Dashboard!$B$5+Dashboard!$B$6)^12</f>
        <v>115.09870959849538</v>
      </c>
      <c r="AE17" s="27">
        <f>$B17*Dashboard!$B$4*(1-Dashboard!$B$5+Dashboard!$B$6)^13</f>
        <v>109.91926766656309</v>
      </c>
      <c r="AF17" s="27">
        <f>$B17*Dashboard!$B$4*(1-Dashboard!$B$5+Dashboard!$B$6)^14</f>
        <v>104.97290062156775</v>
      </c>
      <c r="AG17" s="27">
        <f>$B17*Dashboard!$B$4*(1-Dashboard!$B$5+Dashboard!$B$6)^15</f>
        <v>100.24912009359718</v>
      </c>
      <c r="AH17" s="27">
        <f>$B17*Dashboard!$B$4*(1-Dashboard!$B$5+Dashboard!$B$6)^16</f>
        <v>95.737909689385319</v>
      </c>
      <c r="AI17" s="27">
        <f>$B17*Dashboard!$B$4*(1-Dashboard!$B$5+Dashboard!$B$6)^17</f>
        <v>91.429703753362972</v>
      </c>
      <c r="AJ17" s="27">
        <f>$B17*Dashboard!$B$4*(1-Dashboard!$B$5+Dashboard!$B$6)^18</f>
        <v>87.315367084461641</v>
      </c>
      <c r="AK17" s="27">
        <f>$B17*Dashboard!$B$4*(1-Dashboard!$B$5+Dashboard!$B$6)^19</f>
        <v>83.386175565660864</v>
      </c>
      <c r="AL17" s="27">
        <f>$B17*Dashboard!$B$4*(1-Dashboard!$B$5+Dashboard!$B$6)^20</f>
        <v>79.633797665206131</v>
      </c>
      <c r="AM17" s="28">
        <f>$B17*Dashboard!$B$4*(1-Dashboard!$B$5+Dashboard!$B$6)^21</f>
        <v>76.050276770271836</v>
      </c>
      <c r="AN17" s="66">
        <f t="shared" si="0"/>
        <v>2830.4885707642297</v>
      </c>
    </row>
    <row r="18" spans="1:40" x14ac:dyDescent="0.35">
      <c r="A18" s="68" t="s">
        <v>100</v>
      </c>
      <c r="B18" s="29">
        <v>2</v>
      </c>
      <c r="C18" s="30">
        <f>B18*Dashboard!$B$4</f>
        <v>200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>
        <f>$B18*Dashboard!$B$4</f>
        <v>200</v>
      </c>
      <c r="T18" s="30">
        <f>$B18*Dashboard!$B$4*(1-Dashboard!$B$5+Dashboard!$B$6)^1</f>
        <v>191</v>
      </c>
      <c r="U18" s="30">
        <f>$B18*Dashboard!$B$4*(1-Dashboard!$B$5+Dashboard!$B$6)^2</f>
        <v>182.405</v>
      </c>
      <c r="V18" s="30">
        <f>$B18*Dashboard!$B$4*(1-Dashboard!$B$5+Dashboard!$B$6)^3</f>
        <v>174.196775</v>
      </c>
      <c r="W18" s="30">
        <f>$B18*Dashboard!$B$4*(1-Dashboard!$B$5+Dashboard!$B$6)^4</f>
        <v>166.35792012499999</v>
      </c>
      <c r="X18" s="30">
        <f>$B18*Dashboard!$B$4*(1-Dashboard!$B$5+Dashboard!$B$6)^5</f>
        <v>158.87181371937498</v>
      </c>
      <c r="Y18" s="30">
        <f>$B18*Dashboard!$B$4*(1-Dashboard!$B$5+Dashboard!$B$6)^6</f>
        <v>151.72258210200312</v>
      </c>
      <c r="Z18" s="30">
        <f>$B18*Dashboard!$B$4*(1-Dashboard!$B$5+Dashboard!$B$6)^7</f>
        <v>144.89506590741297</v>
      </c>
      <c r="AA18" s="30">
        <f>$B18*Dashboard!$B$4*(1-Dashboard!$B$5+Dashboard!$B$6)^8</f>
        <v>138.37478794157937</v>
      </c>
      <c r="AB18" s="30">
        <f>$B18*Dashboard!$B$4*(1-Dashboard!$B$5+Dashboard!$B$6)^9</f>
        <v>132.14792248420829</v>
      </c>
      <c r="AC18" s="30">
        <f>$B18*Dashboard!$B$4*(1-Dashboard!$B$5+Dashboard!$B$6)^10</f>
        <v>126.20126597241894</v>
      </c>
      <c r="AD18" s="30">
        <f>$B18*Dashboard!$B$4*(1-Dashboard!$B$5+Dashboard!$B$6)^11</f>
        <v>120.52220900366008</v>
      </c>
      <c r="AE18" s="30">
        <f>$B18*Dashboard!$B$4*(1-Dashboard!$B$5+Dashboard!$B$6)^12</f>
        <v>115.09870959849538</v>
      </c>
      <c r="AF18" s="30">
        <f>$B18*Dashboard!$B$4*(1-Dashboard!$B$5+Dashboard!$B$6)^13</f>
        <v>109.91926766656309</v>
      </c>
      <c r="AG18" s="30">
        <f>$B18*Dashboard!$B$4*(1-Dashboard!$B$5+Dashboard!$B$6)^14</f>
        <v>104.97290062156775</v>
      </c>
      <c r="AH18" s="30">
        <f>$B18*Dashboard!$B$4*(1-Dashboard!$B$5+Dashboard!$B$6)^15</f>
        <v>100.24912009359718</v>
      </c>
      <c r="AI18" s="30">
        <f>$B18*Dashboard!$B$4*(1-Dashboard!$B$5+Dashboard!$B$6)^16</f>
        <v>95.737909689385319</v>
      </c>
      <c r="AJ18" s="30">
        <f>$B18*Dashboard!$B$4*(1-Dashboard!$B$5+Dashboard!$B$6)^17</f>
        <v>91.429703753362972</v>
      </c>
      <c r="AK18" s="30">
        <f>$B18*Dashboard!$B$4*(1-Dashboard!$B$5+Dashboard!$B$6)^18</f>
        <v>87.315367084461641</v>
      </c>
      <c r="AL18" s="30">
        <f>$B18*Dashboard!$B$4*(1-Dashboard!$B$5+Dashboard!$B$6)^19</f>
        <v>83.386175565660864</v>
      </c>
      <c r="AM18" s="31">
        <f>$B18*Dashboard!$B$4*(1-Dashboard!$B$5+Dashboard!$B$6)^20</f>
        <v>79.633797665206131</v>
      </c>
      <c r="AN18" s="66">
        <f t="shared" si="0"/>
        <v>2754.4382939939578</v>
      </c>
    </row>
    <row r="19" spans="1:40" x14ac:dyDescent="0.35">
      <c r="A19" s="68" t="s">
        <v>101</v>
      </c>
      <c r="B19" s="26">
        <v>2</v>
      </c>
      <c r="C19" s="27">
        <f>B19*Dashboard!$B$4</f>
        <v>200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>
        <f>$B19*Dashboard!$B$4</f>
        <v>200</v>
      </c>
      <c r="U19" s="27">
        <f>$B19*Dashboard!$B$4*(1-Dashboard!$B$5+Dashboard!$B$6)^1</f>
        <v>191</v>
      </c>
      <c r="V19" s="27">
        <f>$B19*Dashboard!$B$4*(1-Dashboard!$B$5+Dashboard!$B$6)^2</f>
        <v>182.405</v>
      </c>
      <c r="W19" s="27">
        <f>$B19*Dashboard!$B$4*(1-Dashboard!$B$5+Dashboard!$B$6)^3</f>
        <v>174.196775</v>
      </c>
      <c r="X19" s="27">
        <f>$B19*Dashboard!$B$4*(1-Dashboard!$B$5+Dashboard!$B$6)^4</f>
        <v>166.35792012499999</v>
      </c>
      <c r="Y19" s="27">
        <f>$B19*Dashboard!$B$4*(1-Dashboard!$B$5+Dashboard!$B$6)^5</f>
        <v>158.87181371937498</v>
      </c>
      <c r="Z19" s="27">
        <f>$B19*Dashboard!$B$4*(1-Dashboard!$B$5+Dashboard!$B$6)^6</f>
        <v>151.72258210200312</v>
      </c>
      <c r="AA19" s="27">
        <f>$B19*Dashboard!$B$4*(1-Dashboard!$B$5+Dashboard!$B$6)^7</f>
        <v>144.89506590741297</v>
      </c>
      <c r="AB19" s="27">
        <f>$B19*Dashboard!$B$4*(1-Dashboard!$B$5+Dashboard!$B$6)^8</f>
        <v>138.37478794157937</v>
      </c>
      <c r="AC19" s="27">
        <f>$B19*Dashboard!$B$4*(1-Dashboard!$B$5+Dashboard!$B$6)^9</f>
        <v>132.14792248420829</v>
      </c>
      <c r="AD19" s="27">
        <f>$B19*Dashboard!$B$4*(1-Dashboard!$B$5+Dashboard!$B$6)^10</f>
        <v>126.20126597241894</v>
      </c>
      <c r="AE19" s="27">
        <f>$B19*Dashboard!$B$4*(1-Dashboard!$B$5+Dashboard!$B$6)^11</f>
        <v>120.52220900366008</v>
      </c>
      <c r="AF19" s="27">
        <f>$B19*Dashboard!$B$4*(1-Dashboard!$B$5+Dashboard!$B$6)^12</f>
        <v>115.09870959849538</v>
      </c>
      <c r="AG19" s="27">
        <f>$B19*Dashboard!$B$4*(1-Dashboard!$B$5+Dashboard!$B$6)^13</f>
        <v>109.91926766656309</v>
      </c>
      <c r="AH19" s="27">
        <f>$B19*Dashboard!$B$4*(1-Dashboard!$B$5+Dashboard!$B$6)^14</f>
        <v>104.97290062156775</v>
      </c>
      <c r="AI19" s="27">
        <f>$B19*Dashboard!$B$4*(1-Dashboard!$B$5+Dashboard!$B$6)^15</f>
        <v>100.24912009359718</v>
      </c>
      <c r="AJ19" s="27">
        <f>$B19*Dashboard!$B$4*(1-Dashboard!$B$5+Dashboard!$B$6)^16</f>
        <v>95.737909689385319</v>
      </c>
      <c r="AK19" s="27">
        <f>$B19*Dashboard!$B$4*(1-Dashboard!$B$5+Dashboard!$B$6)^17</f>
        <v>91.429703753362972</v>
      </c>
      <c r="AL19" s="27">
        <f>$B19*Dashboard!$B$4*(1-Dashboard!$B$5+Dashboard!$B$6)^18</f>
        <v>87.315367084461641</v>
      </c>
      <c r="AM19" s="28">
        <f>$B19*Dashboard!$B$4*(1-Dashboard!$B$5+Dashboard!$B$6)^19</f>
        <v>83.386175565660864</v>
      </c>
      <c r="AN19" s="66">
        <f t="shared" si="0"/>
        <v>2674.8044963287516</v>
      </c>
    </row>
    <row r="20" spans="1:40" x14ac:dyDescent="0.35">
      <c r="A20" s="68" t="s">
        <v>102</v>
      </c>
      <c r="B20" s="29">
        <v>2</v>
      </c>
      <c r="C20" s="30">
        <f>B20*Dashboard!$B$4</f>
        <v>200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>
        <f>$B20*Dashboard!$B$4</f>
        <v>200</v>
      </c>
      <c r="V20" s="30">
        <f>$B20*Dashboard!$B$4*(1-Dashboard!$B$5+Dashboard!$B$6)^1</f>
        <v>191</v>
      </c>
      <c r="W20" s="30">
        <f>$B20*Dashboard!$B$4*(1-Dashboard!$B$5+Dashboard!$B$6)^2</f>
        <v>182.405</v>
      </c>
      <c r="X20" s="30">
        <f>$B20*Dashboard!$B$4*(1-Dashboard!$B$5+Dashboard!$B$6)^3</f>
        <v>174.196775</v>
      </c>
      <c r="Y20" s="30">
        <f>$B20*Dashboard!$B$4*(1-Dashboard!$B$5+Dashboard!$B$6)^4</f>
        <v>166.35792012499999</v>
      </c>
      <c r="Z20" s="30">
        <f>$B20*Dashboard!$B$4*(1-Dashboard!$B$5+Dashboard!$B$6)^5</f>
        <v>158.87181371937498</v>
      </c>
      <c r="AA20" s="30">
        <f>$B20*Dashboard!$B$4*(1-Dashboard!$B$5+Dashboard!$B$6)^6</f>
        <v>151.72258210200312</v>
      </c>
      <c r="AB20" s="30">
        <f>$B20*Dashboard!$B$4*(1-Dashboard!$B$5+Dashboard!$B$6)^7</f>
        <v>144.89506590741297</v>
      </c>
      <c r="AC20" s="30">
        <f>$B20*Dashboard!$B$4*(1-Dashboard!$B$5+Dashboard!$B$6)^8</f>
        <v>138.37478794157937</v>
      </c>
      <c r="AD20" s="30">
        <f>$B20*Dashboard!$B$4*(1-Dashboard!$B$5+Dashboard!$B$6)^9</f>
        <v>132.14792248420829</v>
      </c>
      <c r="AE20" s="30">
        <f>$B20*Dashboard!$B$4*(1-Dashboard!$B$5+Dashboard!$B$6)^10</f>
        <v>126.20126597241894</v>
      </c>
      <c r="AF20" s="30">
        <f>$B20*Dashboard!$B$4*(1-Dashboard!$B$5+Dashboard!$B$6)^11</f>
        <v>120.52220900366008</v>
      </c>
      <c r="AG20" s="30">
        <f>$B20*Dashboard!$B$4*(1-Dashboard!$B$5+Dashboard!$B$6)^12</f>
        <v>115.09870959849538</v>
      </c>
      <c r="AH20" s="30">
        <f>$B20*Dashboard!$B$4*(1-Dashboard!$B$5+Dashboard!$B$6)^13</f>
        <v>109.91926766656309</v>
      </c>
      <c r="AI20" s="30">
        <f>$B20*Dashboard!$B$4*(1-Dashboard!$B$5+Dashboard!$B$6)^14</f>
        <v>104.97290062156775</v>
      </c>
      <c r="AJ20" s="30">
        <f>$B20*Dashboard!$B$4*(1-Dashboard!$B$5+Dashboard!$B$6)^15</f>
        <v>100.24912009359718</v>
      </c>
      <c r="AK20" s="30">
        <f>$B20*Dashboard!$B$4*(1-Dashboard!$B$5+Dashboard!$B$6)^16</f>
        <v>95.737909689385319</v>
      </c>
      <c r="AL20" s="30">
        <f>$B20*Dashboard!$B$4*(1-Dashboard!$B$5+Dashboard!$B$6)^17</f>
        <v>91.429703753362972</v>
      </c>
      <c r="AM20" s="31">
        <f>$B20*Dashboard!$B$4*(1-Dashboard!$B$5+Dashboard!$B$6)^18</f>
        <v>87.315367084461641</v>
      </c>
      <c r="AN20" s="66">
        <f t="shared" si="0"/>
        <v>2591.4183207630908</v>
      </c>
    </row>
    <row r="21" spans="1:40" x14ac:dyDescent="0.35">
      <c r="A21" s="68" t="s">
        <v>103</v>
      </c>
      <c r="B21" s="26">
        <v>1</v>
      </c>
      <c r="C21" s="27">
        <f>B21*Dashboard!$B$4</f>
        <v>100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>
        <f>$B21*Dashboard!$B$4</f>
        <v>100</v>
      </c>
      <c r="W21" s="27">
        <f>$B21*Dashboard!$B$4*(1-Dashboard!$B$5+Dashboard!$B$6)^1</f>
        <v>95.5</v>
      </c>
      <c r="X21" s="27">
        <f>$B21*Dashboard!$B$4*(1-Dashboard!$B$5+Dashboard!$B$6)^2</f>
        <v>91.202500000000001</v>
      </c>
      <c r="Y21" s="27">
        <f>$B21*Dashboard!$B$4*(1-Dashboard!$B$5+Dashboard!$B$6)^3</f>
        <v>87.098387500000001</v>
      </c>
      <c r="Z21" s="27">
        <f>$B21*Dashboard!$B$4*(1-Dashboard!$B$5+Dashboard!$B$6)^4</f>
        <v>83.178960062499996</v>
      </c>
      <c r="AA21" s="27">
        <f>$B21*Dashboard!$B$4*(1-Dashboard!$B$5+Dashboard!$B$6)^5</f>
        <v>79.435906859687492</v>
      </c>
      <c r="AB21" s="27">
        <f>$B21*Dashboard!$B$4*(1-Dashboard!$B$5+Dashboard!$B$6)^6</f>
        <v>75.861291051001558</v>
      </c>
      <c r="AC21" s="27">
        <f>$B21*Dashboard!$B$4*(1-Dashboard!$B$5+Dashboard!$B$6)^7</f>
        <v>72.447532953706485</v>
      </c>
      <c r="AD21" s="27">
        <f>$B21*Dashboard!$B$4*(1-Dashboard!$B$5+Dashboard!$B$6)^8</f>
        <v>69.187393970789685</v>
      </c>
      <c r="AE21" s="27">
        <f>$B21*Dashboard!$B$4*(1-Dashboard!$B$5+Dashboard!$B$6)^9</f>
        <v>66.073961242104147</v>
      </c>
      <c r="AF21" s="27">
        <f>$B21*Dashboard!$B$4*(1-Dashboard!$B$5+Dashboard!$B$6)^10</f>
        <v>63.100632986209469</v>
      </c>
      <c r="AG21" s="27">
        <f>$B21*Dashboard!$B$4*(1-Dashboard!$B$5+Dashboard!$B$6)^11</f>
        <v>60.26110450183004</v>
      </c>
      <c r="AH21" s="27">
        <f>$B21*Dashboard!$B$4*(1-Dashboard!$B$5+Dashboard!$B$6)^12</f>
        <v>57.549354799247688</v>
      </c>
      <c r="AI21" s="27">
        <f>$B21*Dashboard!$B$4*(1-Dashboard!$B$5+Dashboard!$B$6)^13</f>
        <v>54.959633833281544</v>
      </c>
      <c r="AJ21" s="27">
        <f>$B21*Dashboard!$B$4*(1-Dashboard!$B$5+Dashboard!$B$6)^14</f>
        <v>52.486450310783873</v>
      </c>
      <c r="AK21" s="27">
        <f>$B21*Dashboard!$B$4*(1-Dashboard!$B$5+Dashboard!$B$6)^15</f>
        <v>50.124560046798592</v>
      </c>
      <c r="AL21" s="27">
        <f>$B21*Dashboard!$B$4*(1-Dashboard!$B$5+Dashboard!$B$6)^16</f>
        <v>47.868954844692659</v>
      </c>
      <c r="AM21" s="28">
        <f>$B21*Dashboard!$B$4*(1-Dashboard!$B$5+Dashboard!$B$6)^17</f>
        <v>45.714851876681486</v>
      </c>
      <c r="AN21" s="66">
        <f t="shared" si="0"/>
        <v>1252.0514768393145</v>
      </c>
    </row>
    <row r="22" spans="1:40" x14ac:dyDescent="0.35">
      <c r="A22" s="68" t="s">
        <v>104</v>
      </c>
      <c r="B22" s="29">
        <v>1</v>
      </c>
      <c r="C22" s="30">
        <f>B22*Dashboard!$B$4</f>
        <v>100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>
        <f>$B22*Dashboard!$B$4</f>
        <v>100</v>
      </c>
      <c r="X22" s="30">
        <f>$B22*Dashboard!$B$4*(1-Dashboard!$B$5+Dashboard!$B$6)^1</f>
        <v>95.5</v>
      </c>
      <c r="Y22" s="30">
        <f>$B22*Dashboard!$B$4*(1-Dashboard!$B$5+Dashboard!$B$6)^2</f>
        <v>91.202500000000001</v>
      </c>
      <c r="Z22" s="30">
        <f>$B22*Dashboard!$B$4*(1-Dashboard!$B$5+Dashboard!$B$6)^3</f>
        <v>87.098387500000001</v>
      </c>
      <c r="AA22" s="30">
        <f>$B22*Dashboard!$B$4*(1-Dashboard!$B$5+Dashboard!$B$6)^4</f>
        <v>83.178960062499996</v>
      </c>
      <c r="AB22" s="30">
        <f>$B22*Dashboard!$B$4*(1-Dashboard!$B$5+Dashboard!$B$6)^5</f>
        <v>79.435906859687492</v>
      </c>
      <c r="AC22" s="30">
        <f>$B22*Dashboard!$B$4*(1-Dashboard!$B$5+Dashboard!$B$6)^6</f>
        <v>75.861291051001558</v>
      </c>
      <c r="AD22" s="30">
        <f>$B22*Dashboard!$B$4*(1-Dashboard!$B$5+Dashboard!$B$6)^7</f>
        <v>72.447532953706485</v>
      </c>
      <c r="AE22" s="30">
        <f>$B22*Dashboard!$B$4*(1-Dashboard!$B$5+Dashboard!$B$6)^8</f>
        <v>69.187393970789685</v>
      </c>
      <c r="AF22" s="30">
        <f>$B22*Dashboard!$B$4*(1-Dashboard!$B$5+Dashboard!$B$6)^9</f>
        <v>66.073961242104147</v>
      </c>
      <c r="AG22" s="30">
        <f>$B22*Dashboard!$B$4*(1-Dashboard!$B$5+Dashboard!$B$6)^10</f>
        <v>63.100632986209469</v>
      </c>
      <c r="AH22" s="30">
        <f>$B22*Dashboard!$B$4*(1-Dashboard!$B$5+Dashboard!$B$6)^11</f>
        <v>60.26110450183004</v>
      </c>
      <c r="AI22" s="30">
        <f>$B22*Dashboard!$B$4*(1-Dashboard!$B$5+Dashboard!$B$6)^12</f>
        <v>57.549354799247688</v>
      </c>
      <c r="AJ22" s="30">
        <f>$B22*Dashboard!$B$4*(1-Dashboard!$B$5+Dashboard!$B$6)^13</f>
        <v>54.959633833281544</v>
      </c>
      <c r="AK22" s="30">
        <f>$B22*Dashboard!$B$4*(1-Dashboard!$B$5+Dashboard!$B$6)^14</f>
        <v>52.486450310783873</v>
      </c>
      <c r="AL22" s="30">
        <f>$B22*Dashboard!$B$4*(1-Dashboard!$B$5+Dashboard!$B$6)^15</f>
        <v>50.124560046798592</v>
      </c>
      <c r="AM22" s="31">
        <f>$B22*Dashboard!$B$4*(1-Dashboard!$B$5+Dashboard!$B$6)^16</f>
        <v>47.868954844692659</v>
      </c>
      <c r="AN22" s="66">
        <f t="shared" si="0"/>
        <v>1206.3366249626331</v>
      </c>
    </row>
    <row r="23" spans="1:40" x14ac:dyDescent="0.35">
      <c r="A23" s="68" t="s">
        <v>105</v>
      </c>
      <c r="B23" s="26">
        <v>2</v>
      </c>
      <c r="C23" s="27">
        <f>B23*Dashboard!$B$4</f>
        <v>200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>
        <f>$B23*Dashboard!$B$4</f>
        <v>200</v>
      </c>
      <c r="Y23" s="27">
        <f>$B23*Dashboard!$B$4*(1-Dashboard!$B$5+Dashboard!$B$6)^1</f>
        <v>191</v>
      </c>
      <c r="Z23" s="27">
        <f>$B23*Dashboard!$B$4*(1-Dashboard!$B$5+Dashboard!$B$6)^2</f>
        <v>182.405</v>
      </c>
      <c r="AA23" s="27">
        <f>$B23*Dashboard!$B$4*(1-Dashboard!$B$5+Dashboard!$B$6)^3</f>
        <v>174.196775</v>
      </c>
      <c r="AB23" s="27">
        <f>$B23*Dashboard!$B$4*(1-Dashboard!$B$5+Dashboard!$B$6)^4</f>
        <v>166.35792012499999</v>
      </c>
      <c r="AC23" s="27">
        <f>$B23*Dashboard!$B$4*(1-Dashboard!$B$5+Dashboard!$B$6)^5</f>
        <v>158.87181371937498</v>
      </c>
      <c r="AD23" s="27">
        <f>$B23*Dashboard!$B$4*(1-Dashboard!$B$5+Dashboard!$B$6)^6</f>
        <v>151.72258210200312</v>
      </c>
      <c r="AE23" s="27">
        <f>$B23*Dashboard!$B$4*(1-Dashboard!$B$5+Dashboard!$B$6)^7</f>
        <v>144.89506590741297</v>
      </c>
      <c r="AF23" s="27">
        <f>$B23*Dashboard!$B$4*(1-Dashboard!$B$5+Dashboard!$B$6)^8</f>
        <v>138.37478794157937</v>
      </c>
      <c r="AG23" s="27">
        <f>$B23*Dashboard!$B$4*(1-Dashboard!$B$5+Dashboard!$B$6)^9</f>
        <v>132.14792248420829</v>
      </c>
      <c r="AH23" s="27">
        <f>$B23*Dashboard!$B$4*(1-Dashboard!$B$5+Dashboard!$B$6)^10</f>
        <v>126.20126597241894</v>
      </c>
      <c r="AI23" s="27">
        <f>$B23*Dashboard!$B$4*(1-Dashboard!$B$5+Dashboard!$B$6)^11</f>
        <v>120.52220900366008</v>
      </c>
      <c r="AJ23" s="27">
        <f>$B23*Dashboard!$B$4*(1-Dashboard!$B$5+Dashboard!$B$6)^12</f>
        <v>115.09870959849538</v>
      </c>
      <c r="AK23" s="27">
        <f>$B23*Dashboard!$B$4*(1-Dashboard!$B$5+Dashboard!$B$6)^13</f>
        <v>109.91926766656309</v>
      </c>
      <c r="AL23" s="27">
        <f>$B23*Dashboard!$B$4*(1-Dashboard!$B$5+Dashboard!$B$6)^14</f>
        <v>104.97290062156775</v>
      </c>
      <c r="AM23" s="28">
        <f>$B23*Dashboard!$B$4*(1-Dashboard!$B$5+Dashboard!$B$6)^15</f>
        <v>100.24912009359718</v>
      </c>
      <c r="AN23" s="66">
        <f t="shared" si="0"/>
        <v>2316.9353402358811</v>
      </c>
    </row>
    <row r="24" spans="1:40" x14ac:dyDescent="0.35">
      <c r="A24" s="68" t="s">
        <v>106</v>
      </c>
      <c r="B24" s="29">
        <v>2</v>
      </c>
      <c r="C24" s="30">
        <f>B24*Dashboard!$B$4</f>
        <v>200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>
        <f>$B24*Dashboard!$B$4</f>
        <v>200</v>
      </c>
      <c r="Z24" s="30">
        <f>$B24*Dashboard!$B$4*(1-Dashboard!$B$5+Dashboard!$B$6)^1</f>
        <v>191</v>
      </c>
      <c r="AA24" s="30">
        <f>$B24*Dashboard!$B$4*(1-Dashboard!$B$5+Dashboard!$B$6)^2</f>
        <v>182.405</v>
      </c>
      <c r="AB24" s="30">
        <f>$B24*Dashboard!$B$4*(1-Dashboard!$B$5+Dashboard!$B$6)^3</f>
        <v>174.196775</v>
      </c>
      <c r="AC24" s="30">
        <f>$B24*Dashboard!$B$4*(1-Dashboard!$B$5+Dashboard!$B$6)^4</f>
        <v>166.35792012499999</v>
      </c>
      <c r="AD24" s="30">
        <f>$B24*Dashboard!$B$4*(1-Dashboard!$B$5+Dashboard!$B$6)^5</f>
        <v>158.87181371937498</v>
      </c>
      <c r="AE24" s="30">
        <f>$B24*Dashboard!$B$4*(1-Dashboard!$B$5+Dashboard!$B$6)^6</f>
        <v>151.72258210200312</v>
      </c>
      <c r="AF24" s="30">
        <f>$B24*Dashboard!$B$4*(1-Dashboard!$B$5+Dashboard!$B$6)^7</f>
        <v>144.89506590741297</v>
      </c>
      <c r="AG24" s="30">
        <f>$B24*Dashboard!$B$4*(1-Dashboard!$B$5+Dashboard!$B$6)^8</f>
        <v>138.37478794157937</v>
      </c>
      <c r="AH24" s="30">
        <f>$B24*Dashboard!$B$4*(1-Dashboard!$B$5+Dashboard!$B$6)^9</f>
        <v>132.14792248420829</v>
      </c>
      <c r="AI24" s="30">
        <f>$B24*Dashboard!$B$4*(1-Dashboard!$B$5+Dashboard!$B$6)^10</f>
        <v>126.20126597241894</v>
      </c>
      <c r="AJ24" s="30">
        <f>$B24*Dashboard!$B$4*(1-Dashboard!$B$5+Dashboard!$B$6)^11</f>
        <v>120.52220900366008</v>
      </c>
      <c r="AK24" s="30">
        <f>$B24*Dashboard!$B$4*(1-Dashboard!$B$5+Dashboard!$B$6)^12</f>
        <v>115.09870959849538</v>
      </c>
      <c r="AL24" s="30">
        <f>$B24*Dashboard!$B$4*(1-Dashboard!$B$5+Dashboard!$B$6)^13</f>
        <v>109.91926766656309</v>
      </c>
      <c r="AM24" s="31">
        <f>$B24*Dashboard!$B$4*(1-Dashboard!$B$5+Dashboard!$B$6)^14</f>
        <v>104.97290062156775</v>
      </c>
      <c r="AN24" s="66">
        <f t="shared" si="0"/>
        <v>2216.6862201422837</v>
      </c>
    </row>
    <row r="25" spans="1:40" x14ac:dyDescent="0.35">
      <c r="A25" s="68" t="s">
        <v>107</v>
      </c>
      <c r="B25" s="26">
        <v>2</v>
      </c>
      <c r="C25" s="27">
        <f>B25*Dashboard!$B$4</f>
        <v>200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>
        <f>$B25*Dashboard!$B$4</f>
        <v>200</v>
      </c>
      <c r="AA25" s="27">
        <f>$B25*Dashboard!$B$4*(1-Dashboard!$B$5+Dashboard!$B$6)^1</f>
        <v>191</v>
      </c>
      <c r="AB25" s="27">
        <f>$B25*Dashboard!$B$4*(1-Dashboard!$B$5+Dashboard!$B$6)^2</f>
        <v>182.405</v>
      </c>
      <c r="AC25" s="27">
        <f>$B25*Dashboard!$B$4*(1-Dashboard!$B$5+Dashboard!$B$6)^3</f>
        <v>174.196775</v>
      </c>
      <c r="AD25" s="27">
        <f>$B25*Dashboard!$B$4*(1-Dashboard!$B$5+Dashboard!$B$6)^4</f>
        <v>166.35792012499999</v>
      </c>
      <c r="AE25" s="27">
        <f>$B25*Dashboard!$B$4*(1-Dashboard!$B$5+Dashboard!$B$6)^5</f>
        <v>158.87181371937498</v>
      </c>
      <c r="AF25" s="27">
        <f>$B25*Dashboard!$B$4*(1-Dashboard!$B$5+Dashboard!$B$6)^6</f>
        <v>151.72258210200312</v>
      </c>
      <c r="AG25" s="27">
        <f>$B25*Dashboard!$B$4*(1-Dashboard!$B$5+Dashboard!$B$6)^7</f>
        <v>144.89506590741297</v>
      </c>
      <c r="AH25" s="27">
        <f>$B25*Dashboard!$B$4*(1-Dashboard!$B$5+Dashboard!$B$6)^8</f>
        <v>138.37478794157937</v>
      </c>
      <c r="AI25" s="27">
        <f>$B25*Dashboard!$B$4*(1-Dashboard!$B$5+Dashboard!$B$6)^9</f>
        <v>132.14792248420829</v>
      </c>
      <c r="AJ25" s="27">
        <f>$B25*Dashboard!$B$4*(1-Dashboard!$B$5+Dashboard!$B$6)^10</f>
        <v>126.20126597241894</v>
      </c>
      <c r="AK25" s="27">
        <f>$B25*Dashboard!$B$4*(1-Dashboard!$B$5+Dashboard!$B$6)^11</f>
        <v>120.52220900366008</v>
      </c>
      <c r="AL25" s="27">
        <f>$B25*Dashboard!$B$4*(1-Dashboard!$B$5+Dashboard!$B$6)^12</f>
        <v>115.09870959849538</v>
      </c>
      <c r="AM25" s="28">
        <f>$B25*Dashboard!$B$4*(1-Dashboard!$B$5+Dashboard!$B$6)^13</f>
        <v>109.91926766656309</v>
      </c>
      <c r="AN25" s="66">
        <f t="shared" si="0"/>
        <v>2111.7133195207161</v>
      </c>
    </row>
    <row r="26" spans="1:40" x14ac:dyDescent="0.35">
      <c r="A26" s="68" t="s">
        <v>108</v>
      </c>
      <c r="B26" s="29">
        <v>2</v>
      </c>
      <c r="C26" s="30">
        <f>B26*Dashboard!$B$4</f>
        <v>200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>
        <f>$B26*Dashboard!$B$4</f>
        <v>200</v>
      </c>
      <c r="AB26" s="30">
        <f>$B26*Dashboard!$B$4*(1-Dashboard!$B$5+Dashboard!$B$6)^1</f>
        <v>191</v>
      </c>
      <c r="AC26" s="30">
        <f>$B26*Dashboard!$B$4*(1-Dashboard!$B$5+Dashboard!$B$6)^2</f>
        <v>182.405</v>
      </c>
      <c r="AD26" s="30">
        <f>$B26*Dashboard!$B$4*(1-Dashboard!$B$5+Dashboard!$B$6)^3</f>
        <v>174.196775</v>
      </c>
      <c r="AE26" s="30">
        <f>$B26*Dashboard!$B$4*(1-Dashboard!$B$5+Dashboard!$B$6)^4</f>
        <v>166.35792012499999</v>
      </c>
      <c r="AF26" s="30">
        <f>$B26*Dashboard!$B$4*(1-Dashboard!$B$5+Dashboard!$B$6)^5</f>
        <v>158.87181371937498</v>
      </c>
      <c r="AG26" s="30">
        <f>$B26*Dashboard!$B$4*(1-Dashboard!$B$5+Dashboard!$B$6)^6</f>
        <v>151.72258210200312</v>
      </c>
      <c r="AH26" s="30">
        <f>$B26*Dashboard!$B$4*(1-Dashboard!$B$5+Dashboard!$B$6)^7</f>
        <v>144.89506590741297</v>
      </c>
      <c r="AI26" s="30">
        <f>$B26*Dashboard!$B$4*(1-Dashboard!$B$5+Dashboard!$B$6)^8</f>
        <v>138.37478794157937</v>
      </c>
      <c r="AJ26" s="30">
        <f>$B26*Dashboard!$B$4*(1-Dashboard!$B$5+Dashboard!$B$6)^9</f>
        <v>132.14792248420829</v>
      </c>
      <c r="AK26" s="30">
        <f>$B26*Dashboard!$B$4*(1-Dashboard!$B$5+Dashboard!$B$6)^10</f>
        <v>126.20126597241894</v>
      </c>
      <c r="AL26" s="30">
        <f>$B26*Dashboard!$B$4*(1-Dashboard!$B$5+Dashboard!$B$6)^11</f>
        <v>120.52220900366008</v>
      </c>
      <c r="AM26" s="31">
        <f>$B26*Dashboard!$B$4*(1-Dashboard!$B$5+Dashboard!$B$6)^12</f>
        <v>115.09870959849538</v>
      </c>
      <c r="AN26" s="66">
        <f t="shared" si="0"/>
        <v>2001.7940518541529</v>
      </c>
    </row>
    <row r="27" spans="1:40" x14ac:dyDescent="0.35">
      <c r="A27" s="68" t="s">
        <v>109</v>
      </c>
      <c r="B27" s="26">
        <v>1</v>
      </c>
      <c r="C27" s="27">
        <f>B27*Dashboard!$B$4</f>
        <v>100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>
        <f>$B27*Dashboard!$B$4</f>
        <v>100</v>
      </c>
      <c r="AC27" s="27">
        <f>$B27*Dashboard!$B$4*(1-Dashboard!$B$5+Dashboard!$B$6)^1</f>
        <v>95.5</v>
      </c>
      <c r="AD27" s="27">
        <f>$B27*Dashboard!$B$4*(1-Dashboard!$B$5+Dashboard!$B$6)^2</f>
        <v>91.202500000000001</v>
      </c>
      <c r="AE27" s="27">
        <f>$B27*Dashboard!$B$4*(1-Dashboard!$B$5+Dashboard!$B$6)^3</f>
        <v>87.098387500000001</v>
      </c>
      <c r="AF27" s="27">
        <f>$B27*Dashboard!$B$4*(1-Dashboard!$B$5+Dashboard!$B$6)^4</f>
        <v>83.178960062499996</v>
      </c>
      <c r="AG27" s="27">
        <f>$B27*Dashboard!$B$4*(1-Dashboard!$B$5+Dashboard!$B$6)^5</f>
        <v>79.435906859687492</v>
      </c>
      <c r="AH27" s="27">
        <f>$B27*Dashboard!$B$4*(1-Dashboard!$B$5+Dashboard!$B$6)^6</f>
        <v>75.861291051001558</v>
      </c>
      <c r="AI27" s="27">
        <f>$B27*Dashboard!$B$4*(1-Dashboard!$B$5+Dashboard!$B$6)^7</f>
        <v>72.447532953706485</v>
      </c>
      <c r="AJ27" s="27">
        <f>$B27*Dashboard!$B$4*(1-Dashboard!$B$5+Dashboard!$B$6)^8</f>
        <v>69.187393970789685</v>
      </c>
      <c r="AK27" s="27">
        <f>$B27*Dashboard!$B$4*(1-Dashboard!$B$5+Dashboard!$B$6)^9</f>
        <v>66.073961242104147</v>
      </c>
      <c r="AL27" s="27">
        <f>$B27*Dashboard!$B$4*(1-Dashboard!$B$5+Dashboard!$B$6)^10</f>
        <v>63.100632986209469</v>
      </c>
      <c r="AM27" s="28">
        <f>$B27*Dashboard!$B$4*(1-Dashboard!$B$5+Dashboard!$B$6)^11</f>
        <v>60.26110450183004</v>
      </c>
      <c r="AN27" s="66">
        <f t="shared" si="0"/>
        <v>943.34767112782879</v>
      </c>
    </row>
    <row r="28" spans="1:40" x14ac:dyDescent="0.35">
      <c r="A28" s="68" t="s">
        <v>110</v>
      </c>
      <c r="B28" s="29">
        <v>1</v>
      </c>
      <c r="C28" s="30">
        <f>B28*Dashboard!$B$4</f>
        <v>100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>
        <f>$B28*Dashboard!$B$4</f>
        <v>100</v>
      </c>
      <c r="AD28" s="30">
        <f>$B28*Dashboard!$B$4*(1-Dashboard!$B$5+Dashboard!$B$6)^1</f>
        <v>95.5</v>
      </c>
      <c r="AE28" s="30">
        <f>$B28*Dashboard!$B$4*(1-Dashboard!$B$5+Dashboard!$B$6)^2</f>
        <v>91.202500000000001</v>
      </c>
      <c r="AF28" s="30">
        <f>$B28*Dashboard!$B$4*(1-Dashboard!$B$5+Dashboard!$B$6)^3</f>
        <v>87.098387500000001</v>
      </c>
      <c r="AG28" s="30">
        <f>$B28*Dashboard!$B$4*(1-Dashboard!$B$5+Dashboard!$B$6)^4</f>
        <v>83.178960062499996</v>
      </c>
      <c r="AH28" s="30">
        <f>$B28*Dashboard!$B$4*(1-Dashboard!$B$5+Dashboard!$B$6)^5</f>
        <v>79.435906859687492</v>
      </c>
      <c r="AI28" s="30">
        <f>$B28*Dashboard!$B$4*(1-Dashboard!$B$5+Dashboard!$B$6)^6</f>
        <v>75.861291051001558</v>
      </c>
      <c r="AJ28" s="30">
        <f>$B28*Dashboard!$B$4*(1-Dashboard!$B$5+Dashboard!$B$6)^7</f>
        <v>72.447532953706485</v>
      </c>
      <c r="AK28" s="30">
        <f>$B28*Dashboard!$B$4*(1-Dashboard!$B$5+Dashboard!$B$6)^8</f>
        <v>69.187393970789685</v>
      </c>
      <c r="AL28" s="30">
        <f>$B28*Dashboard!$B$4*(1-Dashboard!$B$5+Dashboard!$B$6)^9</f>
        <v>66.073961242104147</v>
      </c>
      <c r="AM28" s="31">
        <f>$B28*Dashboard!$B$4*(1-Dashboard!$B$5+Dashboard!$B$6)^10</f>
        <v>63.100632986209469</v>
      </c>
      <c r="AN28" s="66">
        <f t="shared" si="0"/>
        <v>883.08656662599878</v>
      </c>
    </row>
    <row r="29" spans="1:40" x14ac:dyDescent="0.35">
      <c r="A29" s="68" t="s">
        <v>111</v>
      </c>
      <c r="B29" s="26">
        <v>2</v>
      </c>
      <c r="C29" s="27">
        <f>B29*Dashboard!$B$4</f>
        <v>200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>
        <f>$B29*Dashboard!$B$4</f>
        <v>200</v>
      </c>
      <c r="AE29" s="27">
        <f>$B29*Dashboard!$B$4*(1-Dashboard!$B$5+Dashboard!$B$6)^1</f>
        <v>191</v>
      </c>
      <c r="AF29" s="27">
        <f>$B29*Dashboard!$B$4*(1-Dashboard!$B$5+Dashboard!$B$6)^2</f>
        <v>182.405</v>
      </c>
      <c r="AG29" s="27">
        <f>$B29*Dashboard!$B$4*(1-Dashboard!$B$5+Dashboard!$B$6)^3</f>
        <v>174.196775</v>
      </c>
      <c r="AH29" s="27">
        <f>$B29*Dashboard!$B$4*(1-Dashboard!$B$5+Dashboard!$B$6)^4</f>
        <v>166.35792012499999</v>
      </c>
      <c r="AI29" s="27">
        <f>$B29*Dashboard!$B$4*(1-Dashboard!$B$5+Dashboard!$B$6)^5</f>
        <v>158.87181371937498</v>
      </c>
      <c r="AJ29" s="27">
        <f>$B29*Dashboard!$B$4*(1-Dashboard!$B$5+Dashboard!$B$6)^6</f>
        <v>151.72258210200312</v>
      </c>
      <c r="AK29" s="27">
        <f>$B29*Dashboard!$B$4*(1-Dashboard!$B$5+Dashboard!$B$6)^7</f>
        <v>144.89506590741297</v>
      </c>
      <c r="AL29" s="27">
        <f>$B29*Dashboard!$B$4*(1-Dashboard!$B$5+Dashboard!$B$6)^8</f>
        <v>138.37478794157937</v>
      </c>
      <c r="AM29" s="28">
        <f>$B29*Dashboard!$B$4*(1-Dashboard!$B$5+Dashboard!$B$6)^9</f>
        <v>132.14792248420829</v>
      </c>
      <c r="AN29" s="66">
        <f t="shared" si="0"/>
        <v>1639.9718672795786</v>
      </c>
    </row>
    <row r="30" spans="1:40" x14ac:dyDescent="0.35">
      <c r="A30" s="68" t="s">
        <v>112</v>
      </c>
      <c r="B30" s="29">
        <v>2</v>
      </c>
      <c r="C30" s="30">
        <f>B30*Dashboard!$B$4</f>
        <v>200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>
        <f>$B30*Dashboard!$B$4</f>
        <v>200</v>
      </c>
      <c r="AF30" s="30">
        <f>$B30*Dashboard!$B$4*(1-Dashboard!$B$5+Dashboard!$B$6)^1</f>
        <v>191</v>
      </c>
      <c r="AG30" s="30">
        <f>$B30*Dashboard!$B$4*(1-Dashboard!$B$5+Dashboard!$B$6)^2</f>
        <v>182.405</v>
      </c>
      <c r="AH30" s="30">
        <f>$B30*Dashboard!$B$4*(1-Dashboard!$B$5+Dashboard!$B$6)^3</f>
        <v>174.196775</v>
      </c>
      <c r="AI30" s="30">
        <f>$B30*Dashboard!$B$4*(1-Dashboard!$B$5+Dashboard!$B$6)^4</f>
        <v>166.35792012499999</v>
      </c>
      <c r="AJ30" s="30">
        <f>$B30*Dashboard!$B$4*(1-Dashboard!$B$5+Dashboard!$B$6)^5</f>
        <v>158.87181371937498</v>
      </c>
      <c r="AK30" s="30">
        <f>$B30*Dashboard!$B$4*(1-Dashboard!$B$5+Dashboard!$B$6)^6</f>
        <v>151.72258210200312</v>
      </c>
      <c r="AL30" s="30">
        <f>$B30*Dashboard!$B$4*(1-Dashboard!$B$5+Dashboard!$B$6)^7</f>
        <v>144.89506590741297</v>
      </c>
      <c r="AM30" s="31">
        <f>$B30*Dashboard!$B$4*(1-Dashboard!$B$5+Dashboard!$B$6)^8</f>
        <v>138.37478794157937</v>
      </c>
      <c r="AN30" s="66">
        <f t="shared" si="0"/>
        <v>1507.8239447953704</v>
      </c>
    </row>
    <row r="31" spans="1:40" x14ac:dyDescent="0.35">
      <c r="A31" s="68" t="s">
        <v>113</v>
      </c>
      <c r="B31" s="26">
        <v>1</v>
      </c>
      <c r="C31" s="27">
        <f>B31*Dashboard!$B$4</f>
        <v>100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>
        <f>$B31*Dashboard!$B$4</f>
        <v>100</v>
      </c>
      <c r="AG31" s="27">
        <f>$B31*Dashboard!$B$4*(1-Dashboard!$B$5+Dashboard!$B$6)^1</f>
        <v>95.5</v>
      </c>
      <c r="AH31" s="27">
        <f>$B31*Dashboard!$B$4*(1-Dashboard!$B$5+Dashboard!$B$6)^2</f>
        <v>91.202500000000001</v>
      </c>
      <c r="AI31" s="27">
        <f>$B31*Dashboard!$B$4*(1-Dashboard!$B$5+Dashboard!$B$6)^3</f>
        <v>87.098387500000001</v>
      </c>
      <c r="AJ31" s="27">
        <f>$B31*Dashboard!$B$4*(1-Dashboard!$B$5+Dashboard!$B$6)^4</f>
        <v>83.178960062499996</v>
      </c>
      <c r="AK31" s="27">
        <f>$B31*Dashboard!$B$4*(1-Dashboard!$B$5+Dashboard!$B$6)^5</f>
        <v>79.435906859687492</v>
      </c>
      <c r="AL31" s="27">
        <f>$B31*Dashboard!$B$4*(1-Dashboard!$B$5+Dashboard!$B$6)^6</f>
        <v>75.861291051001558</v>
      </c>
      <c r="AM31" s="28">
        <f>$B31*Dashboard!$B$4*(1-Dashboard!$B$5+Dashboard!$B$6)^7</f>
        <v>72.447532953706485</v>
      </c>
      <c r="AN31" s="66">
        <f t="shared" si="0"/>
        <v>684.7245784268955</v>
      </c>
    </row>
    <row r="32" spans="1:40" x14ac:dyDescent="0.35">
      <c r="A32" s="68" t="s">
        <v>114</v>
      </c>
      <c r="B32" s="29">
        <v>1</v>
      </c>
      <c r="C32" s="30">
        <f>B32*Dashboard!$B$4</f>
        <v>100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>
        <f>$B32*Dashboard!$B$4</f>
        <v>100</v>
      </c>
      <c r="AH32" s="30">
        <f>$B32*Dashboard!$B$4*(1-Dashboard!$B$5+Dashboard!$B$6)^1</f>
        <v>95.5</v>
      </c>
      <c r="AI32" s="30">
        <f>$B32*Dashboard!$B$4*(1-Dashboard!$B$5+Dashboard!$B$6)^2</f>
        <v>91.202500000000001</v>
      </c>
      <c r="AJ32" s="30">
        <f>$B32*Dashboard!$B$4*(1-Dashboard!$B$5+Dashboard!$B$6)^3</f>
        <v>87.098387500000001</v>
      </c>
      <c r="AK32" s="30">
        <f>$B32*Dashboard!$B$4*(1-Dashboard!$B$5+Dashboard!$B$6)^4</f>
        <v>83.178960062499996</v>
      </c>
      <c r="AL32" s="30">
        <f>$B32*Dashboard!$B$4*(1-Dashboard!$B$5+Dashboard!$B$6)^5</f>
        <v>79.435906859687492</v>
      </c>
      <c r="AM32" s="31">
        <f>$B32*Dashboard!$B$4*(1-Dashboard!$B$5+Dashboard!$B$6)^6</f>
        <v>75.861291051001558</v>
      </c>
      <c r="AN32" s="66">
        <f t="shared" si="0"/>
        <v>612.27704547318899</v>
      </c>
    </row>
    <row r="33" spans="1:40" x14ac:dyDescent="0.35">
      <c r="A33" s="68" t="s">
        <v>115</v>
      </c>
      <c r="B33" s="26">
        <v>1</v>
      </c>
      <c r="C33" s="27">
        <f>B33*Dashboard!$B$4</f>
        <v>100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>
        <f>$B33*Dashboard!$B$4</f>
        <v>100</v>
      </c>
      <c r="AI33" s="27">
        <f>$B33*Dashboard!$B$4*(1-Dashboard!$B$5+Dashboard!$B$6)^1</f>
        <v>95.5</v>
      </c>
      <c r="AJ33" s="27">
        <f>$B33*Dashboard!$B$4*(1-Dashboard!$B$5+Dashboard!$B$6)^2</f>
        <v>91.202500000000001</v>
      </c>
      <c r="AK33" s="27">
        <f>$B33*Dashboard!$B$4*(1-Dashboard!$B$5+Dashboard!$B$6)^3</f>
        <v>87.098387500000001</v>
      </c>
      <c r="AL33" s="27">
        <f>$B33*Dashboard!$B$4*(1-Dashboard!$B$5+Dashboard!$B$6)^4</f>
        <v>83.178960062499996</v>
      </c>
      <c r="AM33" s="28">
        <f>$B33*Dashboard!$B$4*(1-Dashboard!$B$5+Dashboard!$B$6)^5</f>
        <v>79.435906859687492</v>
      </c>
      <c r="AN33" s="66">
        <f t="shared" si="0"/>
        <v>536.41575442218743</v>
      </c>
    </row>
    <row r="34" spans="1:40" x14ac:dyDescent="0.35">
      <c r="A34" s="68" t="s">
        <v>116</v>
      </c>
      <c r="B34" s="29">
        <v>1</v>
      </c>
      <c r="C34" s="30">
        <f>B34*Dashboard!$B$4</f>
        <v>100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>
        <f>$B34*Dashboard!$B$4</f>
        <v>100</v>
      </c>
      <c r="AJ34" s="30">
        <f>$B34*Dashboard!$B$4*(1-Dashboard!$B$5+Dashboard!$B$6)^1</f>
        <v>95.5</v>
      </c>
      <c r="AK34" s="30">
        <f>$B34*Dashboard!$B$4*(1-Dashboard!$B$5+Dashboard!$B$6)^2</f>
        <v>91.202500000000001</v>
      </c>
      <c r="AL34" s="30">
        <f>$B34*Dashboard!$B$4*(1-Dashboard!$B$5+Dashboard!$B$6)^3</f>
        <v>87.098387500000001</v>
      </c>
      <c r="AM34" s="31">
        <f>$B34*Dashboard!$B$4*(1-Dashboard!$B$5+Dashboard!$B$6)^4</f>
        <v>83.178960062499996</v>
      </c>
      <c r="AN34" s="66">
        <f t="shared" si="0"/>
        <v>456.97984756249997</v>
      </c>
    </row>
    <row r="35" spans="1:40" x14ac:dyDescent="0.35">
      <c r="A35" s="68" t="s">
        <v>117</v>
      </c>
      <c r="B35" s="26">
        <v>1</v>
      </c>
      <c r="C35" s="27">
        <f>B35*Dashboard!$B$4</f>
        <v>100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>
        <f>$B35*Dashboard!$B$4</f>
        <v>100</v>
      </c>
      <c r="AK35" s="27">
        <f>$B35*Dashboard!$B$4*(1-Dashboard!$B$5+Dashboard!$B$6)^1</f>
        <v>95.5</v>
      </c>
      <c r="AL35" s="27">
        <f>$B35*Dashboard!$B$4*(1-Dashboard!$B$5+Dashboard!$B$6)^2</f>
        <v>91.202500000000001</v>
      </c>
      <c r="AM35" s="28">
        <f>$B35*Dashboard!$B$4*(1-Dashboard!$B$5+Dashboard!$B$6)^3</f>
        <v>87.098387500000001</v>
      </c>
      <c r="AN35" s="66">
        <f t="shared" si="0"/>
        <v>373.80088749999999</v>
      </c>
    </row>
    <row r="36" spans="1:40" x14ac:dyDescent="0.35">
      <c r="A36" s="68" t="s">
        <v>118</v>
      </c>
      <c r="B36" s="29">
        <v>1</v>
      </c>
      <c r="C36" s="30">
        <f>B36*Dashboard!$B$4</f>
        <v>100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>
        <f>$B36*Dashboard!$B$4</f>
        <v>100</v>
      </c>
      <c r="AL36" s="30">
        <f>$B36*Dashboard!$B$4*(1-Dashboard!$B$5+Dashboard!$B$6)^1</f>
        <v>95.5</v>
      </c>
      <c r="AM36" s="31">
        <f>$B36*Dashboard!$B$4*(1-Dashboard!$B$5+Dashboard!$B$6)^2</f>
        <v>91.202500000000001</v>
      </c>
      <c r="AN36" s="66">
        <f t="shared" si="0"/>
        <v>286.70249999999999</v>
      </c>
    </row>
    <row r="37" spans="1:40" x14ac:dyDescent="0.35">
      <c r="A37" s="68" t="s">
        <v>119</v>
      </c>
      <c r="B37" s="26">
        <v>1</v>
      </c>
      <c r="C37" s="27">
        <f>B37*Dashboard!$B$4</f>
        <v>100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>
        <f>$B37*Dashboard!$B$4</f>
        <v>100</v>
      </c>
      <c r="AM37" s="28">
        <f>$B37*Dashboard!$B$4*(1-Dashboard!$B$5+Dashboard!$B$6)^1</f>
        <v>95.5</v>
      </c>
      <c r="AN37" s="66">
        <f t="shared" si="0"/>
        <v>195.5</v>
      </c>
    </row>
    <row r="38" spans="1:40" x14ac:dyDescent="0.35">
      <c r="A38" s="68" t="s">
        <v>120</v>
      </c>
      <c r="B38" s="29">
        <v>0</v>
      </c>
      <c r="C38" s="30">
        <f>B38*Dashboard!$B$4</f>
        <v>0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1">
        <f>$B38*Dashboard!$B$4</f>
        <v>0</v>
      </c>
      <c r="AN38" s="66">
        <f t="shared" si="0"/>
        <v>0</v>
      </c>
    </row>
    <row r="39" spans="1:40" x14ac:dyDescent="0.35">
      <c r="A39" s="58" t="s">
        <v>83</v>
      </c>
      <c r="B39" s="59">
        <f t="shared" ref="B39:AN39" si="1">SUM(B3:B38)</f>
        <v>50</v>
      </c>
      <c r="C39" s="60">
        <f t="shared" si="1"/>
        <v>5000</v>
      </c>
      <c r="D39" s="60">
        <f t="shared" si="1"/>
        <v>100</v>
      </c>
      <c r="E39" s="60">
        <f t="shared" si="1"/>
        <v>195.5</v>
      </c>
      <c r="F39" s="60">
        <f t="shared" si="1"/>
        <v>286.70249999999999</v>
      </c>
      <c r="G39" s="60">
        <f t="shared" si="1"/>
        <v>373.80088749999999</v>
      </c>
      <c r="H39" s="60">
        <f t="shared" si="1"/>
        <v>456.97984756249997</v>
      </c>
      <c r="I39" s="60">
        <f t="shared" si="1"/>
        <v>536.41575442218755</v>
      </c>
      <c r="J39" s="60">
        <f t="shared" si="1"/>
        <v>612.27704547318899</v>
      </c>
      <c r="K39" s="60">
        <f t="shared" si="1"/>
        <v>684.7245784268955</v>
      </c>
      <c r="L39" s="60">
        <f t="shared" si="1"/>
        <v>753.91197239768519</v>
      </c>
      <c r="M39" s="60">
        <f t="shared" si="1"/>
        <v>919.98593363978932</v>
      </c>
      <c r="N39" s="60">
        <f t="shared" si="1"/>
        <v>1078.5865666259988</v>
      </c>
      <c r="O39" s="60">
        <f t="shared" si="1"/>
        <v>1230.0501711278289</v>
      </c>
      <c r="P39" s="60">
        <f t="shared" si="1"/>
        <v>1374.6979134270764</v>
      </c>
      <c r="Q39" s="60">
        <f t="shared" si="1"/>
        <v>1512.8365073228581</v>
      </c>
      <c r="R39" s="60">
        <f t="shared" si="1"/>
        <v>1644.7588644933296</v>
      </c>
      <c r="S39" s="60">
        <f t="shared" si="1"/>
        <v>1770.7447155911298</v>
      </c>
      <c r="T39" s="60">
        <f t="shared" si="1"/>
        <v>1891.0612033895288</v>
      </c>
      <c r="U39" s="60">
        <f t="shared" si="1"/>
        <v>2005.9634492369998</v>
      </c>
      <c r="V39" s="60">
        <f t="shared" si="1"/>
        <v>2015.6950940213349</v>
      </c>
      <c r="W39" s="60">
        <f t="shared" si="1"/>
        <v>2024.9888147903746</v>
      </c>
      <c r="X39" s="60">
        <f t="shared" si="1"/>
        <v>2133.8643181248081</v>
      </c>
      <c r="Y39" s="60">
        <f t="shared" si="1"/>
        <v>2237.8404238091916</v>
      </c>
      <c r="Z39" s="60">
        <f t="shared" si="1"/>
        <v>2337.137604737778</v>
      </c>
      <c r="AA39" s="60">
        <f t="shared" si="1"/>
        <v>2431.9664125245781</v>
      </c>
      <c r="AB39" s="60">
        <f t="shared" si="1"/>
        <v>2422.5279239609722</v>
      </c>
      <c r="AC39" s="60">
        <f t="shared" si="1"/>
        <v>2413.5141673827284</v>
      </c>
      <c r="AD39" s="60">
        <f t="shared" si="1"/>
        <v>2504.9060298505051</v>
      </c>
      <c r="AE39" s="60">
        <f t="shared" si="1"/>
        <v>2592.1852585072324</v>
      </c>
      <c r="AF39" s="60">
        <f t="shared" si="1"/>
        <v>2575.5369218744072</v>
      </c>
      <c r="AG39" s="60">
        <f t="shared" si="1"/>
        <v>2559.6377603900592</v>
      </c>
      <c r="AH39" s="60">
        <f t="shared" si="1"/>
        <v>2544.454061172506</v>
      </c>
      <c r="AI39" s="60">
        <f t="shared" si="1"/>
        <v>2529.9536284197429</v>
      </c>
      <c r="AJ39" s="60">
        <f t="shared" si="1"/>
        <v>2516.105715140855</v>
      </c>
      <c r="AK39" s="60">
        <f t="shared" si="1"/>
        <v>2502.8809579595163</v>
      </c>
      <c r="AL39" s="60">
        <f t="shared" si="1"/>
        <v>2490.2513148513381</v>
      </c>
      <c r="AM39" s="61">
        <f t="shared" si="1"/>
        <v>2378.1900056830277</v>
      </c>
      <c r="AN39" s="62">
        <f t="shared" si="1"/>
        <v>60640.634323837949</v>
      </c>
    </row>
    <row r="40" spans="1:40" x14ac:dyDescent="0.35">
      <c r="A40" s="63" t="s">
        <v>84</v>
      </c>
      <c r="B40" s="63"/>
      <c r="C40" s="63"/>
      <c r="D40" s="64"/>
      <c r="E40" s="64">
        <f t="shared" ref="E40:AM40" si="2">IF(D39&gt;0,(E39-D39)/D39,0)</f>
        <v>0.95499999999999996</v>
      </c>
      <c r="F40" s="64">
        <f t="shared" si="2"/>
        <v>0.46650895140664955</v>
      </c>
      <c r="G40" s="64">
        <f t="shared" si="2"/>
        <v>0.30379361010106298</v>
      </c>
      <c r="H40" s="64">
        <f t="shared" si="2"/>
        <v>0.22252210426466679</v>
      </c>
      <c r="I40" s="64">
        <f t="shared" si="2"/>
        <v>0.17382803045559539</v>
      </c>
      <c r="J40" s="64">
        <f t="shared" si="2"/>
        <v>0.14142256342324838</v>
      </c>
      <c r="K40" s="64">
        <f t="shared" si="2"/>
        <v>0.11832475754128026</v>
      </c>
      <c r="L40" s="64">
        <f t="shared" si="2"/>
        <v>0.10104412219252104</v>
      </c>
      <c r="M40" s="64">
        <f t="shared" si="2"/>
        <v>0.2202829605078892</v>
      </c>
      <c r="N40" s="64">
        <f t="shared" si="2"/>
        <v>0.1723946282077698</v>
      </c>
      <c r="O40" s="64">
        <f t="shared" si="2"/>
        <v>0.14042786104376756</v>
      </c>
      <c r="P40" s="64">
        <f t="shared" si="2"/>
        <v>0.1175949938420971</v>
      </c>
      <c r="Q40" s="64">
        <f t="shared" si="2"/>
        <v>0.10048650874242382</v>
      </c>
      <c r="R40" s="64">
        <f t="shared" si="2"/>
        <v>8.7201992106816367E-2</v>
      </c>
      <c r="S40" s="64">
        <f t="shared" si="2"/>
        <v>7.6598371844987911E-2</v>
      </c>
      <c r="T40" s="64">
        <f t="shared" si="2"/>
        <v>6.7946828664251405E-2</v>
      </c>
      <c r="U40" s="64">
        <f t="shared" si="2"/>
        <v>6.0760722943033682E-2</v>
      </c>
      <c r="V40" s="64">
        <f t="shared" si="2"/>
        <v>4.8513569816222672E-3</v>
      </c>
      <c r="W40" s="64">
        <f t="shared" si="2"/>
        <v>4.6106778731592078E-3</v>
      </c>
      <c r="X40" s="64">
        <f t="shared" si="2"/>
        <v>5.3765977638599541E-2</v>
      </c>
      <c r="Y40" s="64">
        <f t="shared" si="2"/>
        <v>4.8726671513845569E-2</v>
      </c>
      <c r="Z40" s="64">
        <f t="shared" si="2"/>
        <v>4.4371877401144358E-2</v>
      </c>
      <c r="AA40" s="64">
        <f t="shared" si="2"/>
        <v>4.0574764444577791E-2</v>
      </c>
      <c r="AB40" s="64">
        <f t="shared" si="2"/>
        <v>-3.8810110678329638E-3</v>
      </c>
      <c r="AC40" s="64">
        <f t="shared" si="2"/>
        <v>-3.7208060592778718E-3</v>
      </c>
      <c r="AD40" s="64">
        <f t="shared" si="2"/>
        <v>3.7866718871132299E-2</v>
      </c>
      <c r="AE40" s="64">
        <f t="shared" si="2"/>
        <v>3.4843314526228457E-2</v>
      </c>
      <c r="AF40" s="64">
        <f t="shared" si="2"/>
        <v>-6.4225103426491063E-3</v>
      </c>
      <c r="AG40" s="64">
        <f t="shared" si="2"/>
        <v>-6.173144461379748E-3</v>
      </c>
      <c r="AH40" s="64">
        <f t="shared" si="2"/>
        <v>-5.9319718799738649E-3</v>
      </c>
      <c r="AI40" s="64">
        <f t="shared" si="2"/>
        <v>-5.6988384950763049E-3</v>
      </c>
      <c r="AJ40" s="64">
        <f t="shared" si="2"/>
        <v>-5.4735838330513759E-3</v>
      </c>
      <c r="AK40" s="64">
        <f t="shared" si="2"/>
        <v>-5.2560419467901041E-3</v>
      </c>
      <c r="AL40" s="64">
        <f t="shared" si="2"/>
        <v>-5.046042269015707E-3</v>
      </c>
      <c r="AM40" s="64">
        <f t="shared" si="2"/>
        <v>-4.5000000000000054E-2</v>
      </c>
      <c r="AN40" s="63"/>
    </row>
  </sheetData>
  <mergeCells count="1">
    <mergeCell ref="A1:AL1"/>
  </mergeCells>
  <conditionalFormatting sqref="D3:AM38">
    <cfRule type="colorScale" priority="2">
      <colorScale>
        <cfvo type="min"/>
        <cfvo type="percentile" val="50"/>
        <cfvo type="max"/>
        <color rgb="FFFFFFFF"/>
        <color rgb="FFEAF3E3"/>
        <color rgb="FF2D981E"/>
      </colorScale>
    </cfRule>
  </conditionalFormatting>
  <conditionalFormatting sqref="B3:C3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{597C2D1B-EB46-4FDF-B277-166C5B35A5BF}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7C2D1B-EB46-4FDF-B277-166C5B35A5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B3:C38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ECA7-4E71-492E-A292-FF212D6C5E2F}">
  <dimension ref="A1:G38"/>
  <sheetViews>
    <sheetView workbookViewId="0">
      <pane ySplit="1" topLeftCell="A20" activePane="bottomLeft" state="frozen"/>
      <selection pane="bottomLeft" activeCell="B2" sqref="B2:G37"/>
    </sheetView>
  </sheetViews>
  <sheetFormatPr baseColWidth="10" defaultColWidth="8.81640625" defaultRowHeight="14.5" x14ac:dyDescent="0.35"/>
  <cols>
    <col min="1" max="1" width="13" customWidth="1"/>
    <col min="2" max="7" width="16.6328125" customWidth="1"/>
  </cols>
  <sheetData>
    <row r="1" spans="1:7" x14ac:dyDescent="0.35">
      <c r="A1" s="69" t="s">
        <v>63</v>
      </c>
      <c r="B1" s="69" t="s">
        <v>64</v>
      </c>
      <c r="C1" s="69" t="s">
        <v>65</v>
      </c>
      <c r="D1" s="69" t="s">
        <v>66</v>
      </c>
      <c r="E1" s="69" t="s">
        <v>67</v>
      </c>
      <c r="F1" s="69" t="s">
        <v>68</v>
      </c>
      <c r="G1" s="69" t="s">
        <v>69</v>
      </c>
    </row>
    <row r="2" spans="1:7" x14ac:dyDescent="0.35">
      <c r="A2" s="70" t="s">
        <v>27</v>
      </c>
      <c r="B2" s="4" cm="1">
        <f t="array" ref="B2">SUMPRODUCT('Cohort Analysis'!$B$3:$B$38*Dashboard!$B$4*(1-Dashboard!$B$5+Dashboard!$B$6)^IF(ROW('Cohort Analysis'!$B$3:$B$38)-3&lt;=0,0-ROW('Cohort Analysis'!$B$3:$B$38)+3,0)*(ROW('Cohort Analysis'!$B$3:$B$38)-3&lt;=0))</f>
        <v>100</v>
      </c>
      <c r="C2" s="4">
        <f>'Cohort Analysis'!B3*Dashboard!$B$4</f>
        <v>100</v>
      </c>
      <c r="D2" s="4">
        <v>0</v>
      </c>
      <c r="E2" s="5">
        <v>0</v>
      </c>
      <c r="F2" s="4">
        <f t="shared" ref="F2:F37" si="0">C2+D2+E2</f>
        <v>100</v>
      </c>
      <c r="G2" s="6" cm="1">
        <f t="array" ref="G2">SUMPRODUCT('Cohort Analysis'!$B$3:$B$38*(1-Dashboard!$B$5)^IF(ROW('Cohort Analysis'!$B$3:$B$38)-3&lt;=0,0-ROW('Cohort Analysis'!$B$3:$B$38)+3,0)*(ROW('Cohort Analysis'!$B$3:$B$38)-3&lt;=0))</f>
        <v>1</v>
      </c>
    </row>
    <row r="3" spans="1:7" x14ac:dyDescent="0.35">
      <c r="A3" s="70" t="s">
        <v>28</v>
      </c>
      <c r="B3" s="7" cm="1">
        <f t="array" ref="B3">SUMPRODUCT('Cohort Analysis'!$B$3:$B$38*Dashboard!$B$4*(1-Dashboard!$B$5+Dashboard!$B$6)^IF(ROW('Cohort Analysis'!$B$3:$B$38)-3&lt;=1,1-ROW('Cohort Analysis'!$B$3:$B$38)+3,0)*(ROW('Cohort Analysis'!$B$3:$B$38)-3&lt;=1))</f>
        <v>195.5</v>
      </c>
      <c r="C3" s="7">
        <f>'Cohort Analysis'!B4*Dashboard!$B$4</f>
        <v>100</v>
      </c>
      <c r="D3" s="7" cm="1">
        <f t="array" ref="D3">SUMPRODUCT('Cohort Analysis'!$B$3:$B$38*Dashboard!$B$4*Dashboard!$B$6*(1-Dashboard!$B$5+Dashboard!$B$6)^IF(AND(ROW('Cohort Analysis'!$B$3:$B$38)-3&lt;1,ROW('Cohort Analysis'!$B$3:$B$38)-3&lt;=1),1-ROW('Cohort Analysis'!$B$3:$B$38)+3-1,0)*(ROW('Cohort Analysis'!$B$3:$B$38)-3&lt;1))</f>
        <v>2.5</v>
      </c>
      <c r="E3" s="8" cm="1">
        <f t="array" ref="E3">-SUMPRODUCT('Cohort Analysis'!$B$3:$B$38*Dashboard!$B$4*Dashboard!$B$5*(1-Dashboard!$B$5+Dashboard!$B$6)^IF(AND(ROW('Cohort Analysis'!$B$3:$B$38)-3&lt;1,ROW('Cohort Analysis'!$B$3:$B$38)-3&lt;=1),1-ROW('Cohort Analysis'!$B$3:$B$38)+3-1,0)*(ROW('Cohort Analysis'!$B$3:$B$38)-3&lt;1))</f>
        <v>-7.0000000000000009</v>
      </c>
      <c r="F3" s="7">
        <f t="shared" si="0"/>
        <v>95.5</v>
      </c>
      <c r="G3" s="9" cm="1">
        <f t="array" ref="G3">SUMPRODUCT('Cohort Analysis'!$B$3:$B$38*(1-Dashboard!$B$5)^IF(ROW('Cohort Analysis'!$B$3:$B$38)-3&lt;=1,1-ROW('Cohort Analysis'!$B$3:$B$38)+3,0)*(ROW('Cohort Analysis'!$B$3:$B$38)-3&lt;=1))</f>
        <v>1.93</v>
      </c>
    </row>
    <row r="4" spans="1:7" x14ac:dyDescent="0.35">
      <c r="A4" s="70" t="s">
        <v>29</v>
      </c>
      <c r="B4" s="4" cm="1">
        <f t="array" ref="B4">SUMPRODUCT('Cohort Analysis'!$B$3:$B$38*Dashboard!$B$4*(1-Dashboard!$B$5+Dashboard!$B$6)^IF(ROW('Cohort Analysis'!$B$3:$B$38)-3&lt;=2,2-ROW('Cohort Analysis'!$B$3:$B$38)+3,0)*(ROW('Cohort Analysis'!$B$3:$B$38)-3&lt;=2))</f>
        <v>286.70249999999999</v>
      </c>
      <c r="C4" s="4">
        <f>'Cohort Analysis'!B5*Dashboard!$B$4</f>
        <v>100</v>
      </c>
      <c r="D4" s="4" cm="1">
        <f t="array" ref="D4">SUMPRODUCT('Cohort Analysis'!$B$3:$B$38*Dashboard!$B$4*Dashboard!$B$6*(1-Dashboard!$B$5+Dashboard!$B$6)^IF(AND(ROW('Cohort Analysis'!$B$3:$B$38)-3&lt;2,ROW('Cohort Analysis'!$B$3:$B$38)-3&lt;=2),2-ROW('Cohort Analysis'!$B$3:$B$38)+3-1,0)*(ROW('Cohort Analysis'!$B$3:$B$38)-3&lt;2))</f>
        <v>5</v>
      </c>
      <c r="E4" s="5" cm="1">
        <f t="array" ref="E4">-SUMPRODUCT('Cohort Analysis'!$B$3:$B$38*Dashboard!$B$4*Dashboard!$B$5*(1-Dashboard!$B$5+Dashboard!$B$6)^IF(AND(ROW('Cohort Analysis'!$B$3:$B$38)-3&lt;2,ROW('Cohort Analysis'!$B$3:$B$38)-3&lt;=2),2-ROW('Cohort Analysis'!$B$3:$B$38)+3-1,0)*(ROW('Cohort Analysis'!$B$3:$B$38)-3&lt;2))</f>
        <v>-14.000000000000002</v>
      </c>
      <c r="F4" s="4">
        <f t="shared" si="0"/>
        <v>91</v>
      </c>
      <c r="G4" s="6" cm="1">
        <f t="array" ref="G4">SUMPRODUCT('Cohort Analysis'!$B$3:$B$38*(1-Dashboard!$B$5)^IF(ROW('Cohort Analysis'!$B$3:$B$38)-3&lt;=2,2-ROW('Cohort Analysis'!$B$3:$B$38)+3,0)*(ROW('Cohort Analysis'!$B$3:$B$38)-3&lt;=2))</f>
        <v>2.7948999999999997</v>
      </c>
    </row>
    <row r="5" spans="1:7" x14ac:dyDescent="0.35">
      <c r="A5" s="70" t="s">
        <v>30</v>
      </c>
      <c r="B5" s="7" cm="1">
        <f t="array" ref="B5">SUMPRODUCT('Cohort Analysis'!$B$3:$B$38*Dashboard!$B$4*(1-Dashboard!$B$5+Dashboard!$B$6)^IF(ROW('Cohort Analysis'!$B$3:$B$38)-3&lt;=3,3-ROW('Cohort Analysis'!$B$3:$B$38)+3,0)*(ROW('Cohort Analysis'!$B$3:$B$38)-3&lt;=3))</f>
        <v>373.80088749999999</v>
      </c>
      <c r="C5" s="7">
        <f>'Cohort Analysis'!B6*Dashboard!$B$4</f>
        <v>100</v>
      </c>
      <c r="D5" s="7" cm="1">
        <f t="array" ref="D5">SUMPRODUCT('Cohort Analysis'!$B$3:$B$38*Dashboard!$B$4*Dashboard!$B$6*(1-Dashboard!$B$5+Dashboard!$B$6)^IF(AND(ROW('Cohort Analysis'!$B$3:$B$38)-3&lt;3,ROW('Cohort Analysis'!$B$3:$B$38)-3&lt;=3),3-ROW('Cohort Analysis'!$B$3:$B$38)+3-1,0)*(ROW('Cohort Analysis'!$B$3:$B$38)-3&lt;3))</f>
        <v>7.5</v>
      </c>
      <c r="E5" s="8" cm="1">
        <f t="array" ref="E5">-SUMPRODUCT('Cohort Analysis'!$B$3:$B$38*Dashboard!$B$4*Dashboard!$B$5*(1-Dashboard!$B$5+Dashboard!$B$6)^IF(AND(ROW('Cohort Analysis'!$B$3:$B$38)-3&lt;3,ROW('Cohort Analysis'!$B$3:$B$38)-3&lt;=3),3-ROW('Cohort Analysis'!$B$3:$B$38)+3-1,0)*(ROW('Cohort Analysis'!$B$3:$B$38)-3&lt;3))</f>
        <v>-21.000000000000004</v>
      </c>
      <c r="F5" s="7">
        <f t="shared" si="0"/>
        <v>86.5</v>
      </c>
      <c r="G5" s="9" cm="1">
        <f t="array" ref="G5">SUMPRODUCT('Cohort Analysis'!$B$3:$B$38*(1-Dashboard!$B$5)^IF(ROW('Cohort Analysis'!$B$3:$B$38)-3&lt;=3,3-ROW('Cohort Analysis'!$B$3:$B$38)+3,0)*(ROW('Cohort Analysis'!$B$3:$B$38)-3&lt;=3))</f>
        <v>3.5992569999999997</v>
      </c>
    </row>
    <row r="6" spans="1:7" x14ac:dyDescent="0.35">
      <c r="A6" s="70" t="s">
        <v>31</v>
      </c>
      <c r="B6" s="4" cm="1">
        <f t="array" ref="B6">SUMPRODUCT('Cohort Analysis'!$B$3:$B$38*Dashboard!$B$4*(1-Dashboard!$B$5+Dashboard!$B$6)^IF(ROW('Cohort Analysis'!$B$3:$B$38)-3&lt;=4,4-ROW('Cohort Analysis'!$B$3:$B$38)+3,0)*(ROW('Cohort Analysis'!$B$3:$B$38)-3&lt;=4))</f>
        <v>456.97984756249997</v>
      </c>
      <c r="C6" s="4">
        <f>'Cohort Analysis'!B7*Dashboard!$B$4</f>
        <v>100</v>
      </c>
      <c r="D6" s="4" cm="1">
        <f t="array" ref="D6">SUMPRODUCT('Cohort Analysis'!$B$3:$B$38*Dashboard!$B$4*Dashboard!$B$6*(1-Dashboard!$B$5+Dashboard!$B$6)^IF(AND(ROW('Cohort Analysis'!$B$3:$B$38)-3&lt;4,ROW('Cohort Analysis'!$B$3:$B$38)-3&lt;=4),4-ROW('Cohort Analysis'!$B$3:$B$38)+3-1,0)*(ROW('Cohort Analysis'!$B$3:$B$38)-3&lt;4))</f>
        <v>10</v>
      </c>
      <c r="E6" s="5" cm="1">
        <f t="array" ref="E6">-SUMPRODUCT('Cohort Analysis'!$B$3:$B$38*Dashboard!$B$4*Dashboard!$B$5*(1-Dashboard!$B$5+Dashboard!$B$6)^IF(AND(ROW('Cohort Analysis'!$B$3:$B$38)-3&lt;4,ROW('Cohort Analysis'!$B$3:$B$38)-3&lt;=4),4-ROW('Cohort Analysis'!$B$3:$B$38)+3-1,0)*(ROW('Cohort Analysis'!$B$3:$B$38)-3&lt;4))</f>
        <v>-28.000000000000004</v>
      </c>
      <c r="F6" s="4">
        <f t="shared" si="0"/>
        <v>82</v>
      </c>
      <c r="G6" s="6" cm="1">
        <f t="array" ref="G6">SUMPRODUCT('Cohort Analysis'!$B$3:$B$38*(1-Dashboard!$B$5)^IF(ROW('Cohort Analysis'!$B$3:$B$38)-3&lt;=4,4-ROW('Cohort Analysis'!$B$3:$B$38)+3,0)*(ROW('Cohort Analysis'!$B$3:$B$38)-3&lt;=4))</f>
        <v>4.3473090099999991</v>
      </c>
    </row>
    <row r="7" spans="1:7" x14ac:dyDescent="0.35">
      <c r="A7" s="70" t="s">
        <v>32</v>
      </c>
      <c r="B7" s="7" cm="1">
        <f t="array" ref="B7">SUMPRODUCT('Cohort Analysis'!$B$3:$B$38*Dashboard!$B$4*(1-Dashboard!$B$5+Dashboard!$B$6)^IF(ROW('Cohort Analysis'!$B$3:$B$38)-3&lt;=5,5-ROW('Cohort Analysis'!$B$3:$B$38)+3,0)*(ROW('Cohort Analysis'!$B$3:$B$38)-3&lt;=5))</f>
        <v>536.41575442218755</v>
      </c>
      <c r="C7" s="7">
        <f>'Cohort Analysis'!B8*Dashboard!$B$4</f>
        <v>100</v>
      </c>
      <c r="D7" s="7" cm="1">
        <f t="array" ref="D7">SUMPRODUCT('Cohort Analysis'!$B$3:$B$38*Dashboard!$B$4*Dashboard!$B$6*(1-Dashboard!$B$5+Dashboard!$B$6)^IF(AND(ROW('Cohort Analysis'!$B$3:$B$38)-3&lt;5,ROW('Cohort Analysis'!$B$3:$B$38)-3&lt;=5),5-ROW('Cohort Analysis'!$B$3:$B$38)+3-1,0)*(ROW('Cohort Analysis'!$B$3:$B$38)-3&lt;5))</f>
        <v>12.5</v>
      </c>
      <c r="E7" s="8" cm="1">
        <f t="array" ref="E7">-SUMPRODUCT('Cohort Analysis'!$B$3:$B$38*Dashboard!$B$4*Dashboard!$B$5*(1-Dashboard!$B$5+Dashboard!$B$6)^IF(AND(ROW('Cohort Analysis'!$B$3:$B$38)-3&lt;5,ROW('Cohort Analysis'!$B$3:$B$38)-3&lt;=5),5-ROW('Cohort Analysis'!$B$3:$B$38)+3-1,0)*(ROW('Cohort Analysis'!$B$3:$B$38)-3&lt;5))</f>
        <v>-35.000000000000007</v>
      </c>
      <c r="F7" s="7">
        <f t="shared" si="0"/>
        <v>77.5</v>
      </c>
      <c r="G7" s="9" cm="1">
        <f t="array" ref="G7">SUMPRODUCT('Cohort Analysis'!$B$3:$B$38*(1-Dashboard!$B$5)^IF(ROW('Cohort Analysis'!$B$3:$B$38)-3&lt;=5,5-ROW('Cohort Analysis'!$B$3:$B$38)+3,0)*(ROW('Cohort Analysis'!$B$3:$B$38)-3&lt;=5))</f>
        <v>5.0429973792999991</v>
      </c>
    </row>
    <row r="8" spans="1:7" x14ac:dyDescent="0.35">
      <c r="A8" s="70" t="s">
        <v>33</v>
      </c>
      <c r="B8" s="4" cm="1">
        <f t="array" ref="B8">SUMPRODUCT('Cohort Analysis'!$B$3:$B$38*Dashboard!$B$4*(1-Dashboard!$B$5+Dashboard!$B$6)^IF(ROW('Cohort Analysis'!$B$3:$B$38)-3&lt;=6,6-ROW('Cohort Analysis'!$B$3:$B$38)+3,0)*(ROW('Cohort Analysis'!$B$3:$B$38)-3&lt;=6))</f>
        <v>612.27704547318899</v>
      </c>
      <c r="C8" s="4">
        <f>'Cohort Analysis'!B9*Dashboard!$B$4</f>
        <v>100</v>
      </c>
      <c r="D8" s="4" cm="1">
        <f t="array" ref="D8">SUMPRODUCT('Cohort Analysis'!$B$3:$B$38*Dashboard!$B$4*Dashboard!$B$6*(1-Dashboard!$B$5+Dashboard!$B$6)^IF(AND(ROW('Cohort Analysis'!$B$3:$B$38)-3&lt;6,ROW('Cohort Analysis'!$B$3:$B$38)-3&lt;=6),6-ROW('Cohort Analysis'!$B$3:$B$38)+3-1,0)*(ROW('Cohort Analysis'!$B$3:$B$38)-3&lt;6))</f>
        <v>15</v>
      </c>
      <c r="E8" s="5" cm="1">
        <f t="array" ref="E8">-SUMPRODUCT('Cohort Analysis'!$B$3:$B$38*Dashboard!$B$4*Dashboard!$B$5*(1-Dashboard!$B$5+Dashboard!$B$6)^IF(AND(ROW('Cohort Analysis'!$B$3:$B$38)-3&lt;6,ROW('Cohort Analysis'!$B$3:$B$38)-3&lt;=6),6-ROW('Cohort Analysis'!$B$3:$B$38)+3-1,0)*(ROW('Cohort Analysis'!$B$3:$B$38)-3&lt;6))</f>
        <v>-42.000000000000007</v>
      </c>
      <c r="F8" s="4">
        <f t="shared" si="0"/>
        <v>73</v>
      </c>
      <c r="G8" s="6" cm="1">
        <f t="array" ref="G8">SUMPRODUCT('Cohort Analysis'!$B$3:$B$38*(1-Dashboard!$B$5)^IF(ROW('Cohort Analysis'!$B$3:$B$38)-3&lt;=6,6-ROW('Cohort Analysis'!$B$3:$B$38)+3,0)*(ROW('Cohort Analysis'!$B$3:$B$38)-3&lt;=6))</f>
        <v>5.6899875627489989</v>
      </c>
    </row>
    <row r="9" spans="1:7" x14ac:dyDescent="0.35">
      <c r="A9" s="70" t="s">
        <v>34</v>
      </c>
      <c r="B9" s="7" cm="1">
        <f t="array" ref="B9">SUMPRODUCT('Cohort Analysis'!$B$3:$B$38*Dashboard!$B$4*(1-Dashboard!$B$5+Dashboard!$B$6)^IF(ROW('Cohort Analysis'!$B$3:$B$38)-3&lt;=7,7-ROW('Cohort Analysis'!$B$3:$B$38)+3,0)*(ROW('Cohort Analysis'!$B$3:$B$38)-3&lt;=7))</f>
        <v>684.7245784268955</v>
      </c>
      <c r="C9" s="7">
        <f>'Cohort Analysis'!B10*Dashboard!$B$4</f>
        <v>100</v>
      </c>
      <c r="D9" s="7" cm="1">
        <f t="array" ref="D9">SUMPRODUCT('Cohort Analysis'!$B$3:$B$38*Dashboard!$B$4*Dashboard!$B$6*(1-Dashboard!$B$5+Dashboard!$B$6)^IF(AND(ROW('Cohort Analysis'!$B$3:$B$38)-3&lt;7,ROW('Cohort Analysis'!$B$3:$B$38)-3&lt;=7),7-ROW('Cohort Analysis'!$B$3:$B$38)+3-1,0)*(ROW('Cohort Analysis'!$B$3:$B$38)-3&lt;7))</f>
        <v>17.5</v>
      </c>
      <c r="E9" s="8" cm="1">
        <f t="array" ref="E9">-SUMPRODUCT('Cohort Analysis'!$B$3:$B$38*Dashboard!$B$4*Dashboard!$B$5*(1-Dashboard!$B$5+Dashboard!$B$6)^IF(AND(ROW('Cohort Analysis'!$B$3:$B$38)-3&lt;7,ROW('Cohort Analysis'!$B$3:$B$38)-3&lt;=7),7-ROW('Cohort Analysis'!$B$3:$B$38)+3-1,0)*(ROW('Cohort Analysis'!$B$3:$B$38)-3&lt;7))</f>
        <v>-49.000000000000007</v>
      </c>
      <c r="F9" s="7">
        <f t="shared" si="0"/>
        <v>68.5</v>
      </c>
      <c r="G9" s="9" cm="1">
        <f t="array" ref="G9">SUMPRODUCT('Cohort Analysis'!$B$3:$B$38*(1-Dashboard!$B$5)^IF(ROW('Cohort Analysis'!$B$3:$B$38)-3&lt;=7,7-ROW('Cohort Analysis'!$B$3:$B$38)+3,0)*(ROW('Cohort Analysis'!$B$3:$B$38)-3&lt;=7))</f>
        <v>6.2916884333565681</v>
      </c>
    </row>
    <row r="10" spans="1:7" x14ac:dyDescent="0.35">
      <c r="A10" s="70" t="s">
        <v>35</v>
      </c>
      <c r="B10" s="4" cm="1">
        <f t="array" ref="B10">SUMPRODUCT('Cohort Analysis'!$B$3:$B$38*Dashboard!$B$4*(1-Dashboard!$B$5+Dashboard!$B$6)^IF(ROW('Cohort Analysis'!$B$3:$B$38)-3&lt;=8,8-ROW('Cohort Analysis'!$B$3:$B$38)+3,0)*(ROW('Cohort Analysis'!$B$3:$B$38)-3&lt;=8))</f>
        <v>753.91197239768519</v>
      </c>
      <c r="C10" s="4">
        <f>'Cohort Analysis'!B11*Dashboard!$B$4</f>
        <v>100</v>
      </c>
      <c r="D10" s="4" cm="1">
        <f t="array" ref="D10">SUMPRODUCT('Cohort Analysis'!$B$3:$B$38*Dashboard!$B$4*Dashboard!$B$6*(1-Dashboard!$B$5+Dashboard!$B$6)^IF(AND(ROW('Cohort Analysis'!$B$3:$B$38)-3&lt;8,ROW('Cohort Analysis'!$B$3:$B$38)-3&lt;=8),8-ROW('Cohort Analysis'!$B$3:$B$38)+3-1,0)*(ROW('Cohort Analysis'!$B$3:$B$38)-3&lt;8))</f>
        <v>20</v>
      </c>
      <c r="E10" s="5" cm="1">
        <f t="array" ref="E10">-SUMPRODUCT('Cohort Analysis'!$B$3:$B$38*Dashboard!$B$4*Dashboard!$B$5*(1-Dashboard!$B$5+Dashboard!$B$6)^IF(AND(ROW('Cohort Analysis'!$B$3:$B$38)-3&lt;8,ROW('Cohort Analysis'!$B$3:$B$38)-3&lt;=8),8-ROW('Cohort Analysis'!$B$3:$B$38)+3-1,0)*(ROW('Cohort Analysis'!$B$3:$B$38)-3&lt;8))</f>
        <v>-56.000000000000007</v>
      </c>
      <c r="F10" s="4">
        <f t="shared" si="0"/>
        <v>63.999999999999993</v>
      </c>
      <c r="G10" s="6" cm="1">
        <f t="array" ref="G10">SUMPRODUCT('Cohort Analysis'!$B$3:$B$38*(1-Dashboard!$B$5)^IF(ROW('Cohort Analysis'!$B$3:$B$38)-3&lt;=8,8-ROW('Cohort Analysis'!$B$3:$B$38)+3,0)*(ROW('Cohort Analysis'!$B$3:$B$38)-3&lt;=8))</f>
        <v>6.8512702430216077</v>
      </c>
    </row>
    <row r="11" spans="1:7" x14ac:dyDescent="0.35">
      <c r="A11" s="70" t="s">
        <v>36</v>
      </c>
      <c r="B11" s="7" cm="1">
        <f t="array" ref="B11">SUMPRODUCT('Cohort Analysis'!$B$3:$B$38*Dashboard!$B$4*(1-Dashboard!$B$5+Dashboard!$B$6)^IF(ROW('Cohort Analysis'!$B$3:$B$38)-3&lt;=9,9-ROW('Cohort Analysis'!$B$3:$B$38)+3,0)*(ROW('Cohort Analysis'!$B$3:$B$38)-3&lt;=9))</f>
        <v>919.98593363978932</v>
      </c>
      <c r="C11" s="7">
        <f>'Cohort Analysis'!B12*Dashboard!$B$4</f>
        <v>200</v>
      </c>
      <c r="D11" s="7" cm="1">
        <f t="array" ref="D11">SUMPRODUCT('Cohort Analysis'!$B$3:$B$38*Dashboard!$B$4*Dashboard!$B$6*(1-Dashboard!$B$5+Dashboard!$B$6)^IF(AND(ROW('Cohort Analysis'!$B$3:$B$38)-3&lt;9,ROW('Cohort Analysis'!$B$3:$B$38)-3&lt;=9),9-ROW('Cohort Analysis'!$B$3:$B$38)+3-1,0)*(ROW('Cohort Analysis'!$B$3:$B$38)-3&lt;9))</f>
        <v>22.5</v>
      </c>
      <c r="E11" s="8" cm="1">
        <f t="array" ref="E11">-SUMPRODUCT('Cohort Analysis'!$B$3:$B$38*Dashboard!$B$4*Dashboard!$B$5*(1-Dashboard!$B$5+Dashboard!$B$6)^IF(AND(ROW('Cohort Analysis'!$B$3:$B$38)-3&lt;9,ROW('Cohort Analysis'!$B$3:$B$38)-3&lt;=9),9-ROW('Cohort Analysis'!$B$3:$B$38)+3-1,0)*(ROW('Cohort Analysis'!$B$3:$B$38)-3&lt;9))</f>
        <v>-63.000000000000007</v>
      </c>
      <c r="F11" s="7">
        <f t="shared" si="0"/>
        <v>159.5</v>
      </c>
      <c r="G11" s="9" cm="1">
        <f t="array" ref="G11">SUMPRODUCT('Cohort Analysis'!$B$3:$B$38*(1-Dashboard!$B$5)^IF(ROW('Cohort Analysis'!$B$3:$B$38)-3&lt;=9,9-ROW('Cohort Analysis'!$B$3:$B$38)+3,0)*(ROW('Cohort Analysis'!$B$3:$B$38)-3&lt;=9))</f>
        <v>8.3716813260100942</v>
      </c>
    </row>
    <row r="12" spans="1:7" x14ac:dyDescent="0.35">
      <c r="A12" s="70" t="s">
        <v>37</v>
      </c>
      <c r="B12" s="4" cm="1">
        <f t="array" ref="B12">SUMPRODUCT('Cohort Analysis'!$B$3:$B$38*Dashboard!$B$4*(1-Dashboard!$B$5+Dashboard!$B$6)^IF(ROW('Cohort Analysis'!$B$3:$B$38)-3&lt;=10,10-ROW('Cohort Analysis'!$B$3:$B$38)+3,0)*(ROW('Cohort Analysis'!$B$3:$B$38)-3&lt;=10))</f>
        <v>1078.5865666259988</v>
      </c>
      <c r="C12" s="4">
        <f>'Cohort Analysis'!B13*Dashboard!$B$4</f>
        <v>200</v>
      </c>
      <c r="D12" s="4" cm="1">
        <f t="array" ref="D12">SUMPRODUCT('Cohort Analysis'!$B$3:$B$38*Dashboard!$B$4*Dashboard!$B$6*(1-Dashboard!$B$5+Dashboard!$B$6)^IF(AND(ROW('Cohort Analysis'!$B$3:$B$38)-3&lt;10,ROW('Cohort Analysis'!$B$3:$B$38)-3&lt;=10),10-ROW('Cohort Analysis'!$B$3:$B$38)+3-1,0)*(ROW('Cohort Analysis'!$B$3:$B$38)-3&lt;10))</f>
        <v>27.5</v>
      </c>
      <c r="E12" s="5" cm="1">
        <f t="array" ref="E12">-SUMPRODUCT('Cohort Analysis'!$B$3:$B$38*Dashboard!$B$4*Dashboard!$B$5*(1-Dashboard!$B$5+Dashboard!$B$6)^IF(AND(ROW('Cohort Analysis'!$B$3:$B$38)-3&lt;10,ROW('Cohort Analysis'!$B$3:$B$38)-3&lt;=10),10-ROW('Cohort Analysis'!$B$3:$B$38)+3-1,0)*(ROW('Cohort Analysis'!$B$3:$B$38)-3&lt;10))</f>
        <v>-77.000000000000014</v>
      </c>
      <c r="F12" s="4">
        <f t="shared" si="0"/>
        <v>150.5</v>
      </c>
      <c r="G12" s="6" cm="1">
        <f t="array" ref="G12">SUMPRODUCT('Cohort Analysis'!$B$3:$B$38*(1-Dashboard!$B$5)^IF(ROW('Cohort Analysis'!$B$3:$B$38)-3&lt;=10,10-ROW('Cohort Analysis'!$B$3:$B$38)+3,0)*(ROW('Cohort Analysis'!$B$3:$B$38)-3&lt;=10))</f>
        <v>9.7856636331893867</v>
      </c>
    </row>
    <row r="13" spans="1:7" x14ac:dyDescent="0.35">
      <c r="A13" s="70" t="s">
        <v>38</v>
      </c>
      <c r="B13" s="7" cm="1">
        <f t="array" ref="B13">SUMPRODUCT('Cohort Analysis'!$B$3:$B$38*Dashboard!$B$4*(1-Dashboard!$B$5+Dashboard!$B$6)^IF(ROW('Cohort Analysis'!$B$3:$B$38)-3&lt;=11,11-ROW('Cohort Analysis'!$B$3:$B$38)+3,0)*(ROW('Cohort Analysis'!$B$3:$B$38)-3&lt;=11))</f>
        <v>1230.0501711278289</v>
      </c>
      <c r="C13" s="7">
        <f>'Cohort Analysis'!B14*Dashboard!$B$4</f>
        <v>200</v>
      </c>
      <c r="D13" s="7" cm="1">
        <f t="array" ref="D13">SUMPRODUCT('Cohort Analysis'!$B$3:$B$38*Dashboard!$B$4*Dashboard!$B$6*(1-Dashboard!$B$5+Dashboard!$B$6)^IF(AND(ROW('Cohort Analysis'!$B$3:$B$38)-3&lt;11,ROW('Cohort Analysis'!$B$3:$B$38)-3&lt;=11),11-ROW('Cohort Analysis'!$B$3:$B$38)+3-1,0)*(ROW('Cohort Analysis'!$B$3:$B$38)-3&lt;11))</f>
        <v>32.5</v>
      </c>
      <c r="E13" s="8" cm="1">
        <f t="array" ref="E13">-SUMPRODUCT('Cohort Analysis'!$B$3:$B$38*Dashboard!$B$4*Dashboard!$B$5*(1-Dashboard!$B$5+Dashboard!$B$6)^IF(AND(ROW('Cohort Analysis'!$B$3:$B$38)-3&lt;11,ROW('Cohort Analysis'!$B$3:$B$38)-3&lt;=11),11-ROW('Cohort Analysis'!$B$3:$B$38)+3-1,0)*(ROW('Cohort Analysis'!$B$3:$B$38)-3&lt;11))</f>
        <v>-91.000000000000014</v>
      </c>
      <c r="F13" s="7">
        <f t="shared" si="0"/>
        <v>141.5</v>
      </c>
      <c r="G13" s="9" cm="1">
        <f t="array" ref="G13">SUMPRODUCT('Cohort Analysis'!$B$3:$B$38*(1-Dashboard!$B$5)^IF(ROW('Cohort Analysis'!$B$3:$B$38)-3&lt;=11,11-ROW('Cohort Analysis'!$B$3:$B$38)+3,0)*(ROW('Cohort Analysis'!$B$3:$B$38)-3&lt;=11))</f>
        <v>11.10066717886613</v>
      </c>
    </row>
    <row r="14" spans="1:7" x14ac:dyDescent="0.35">
      <c r="A14" s="70" t="s">
        <v>39</v>
      </c>
      <c r="B14" s="4" cm="1">
        <f t="array" ref="B14">SUMPRODUCT('Cohort Analysis'!$B$3:$B$38*Dashboard!$B$4*(1-Dashboard!$B$5+Dashboard!$B$6)^IF(ROW('Cohort Analysis'!$B$3:$B$38)-3&lt;=12,12-ROW('Cohort Analysis'!$B$3:$B$38)+3,0)*(ROW('Cohort Analysis'!$B$3:$B$38)-3&lt;=12))</f>
        <v>1374.6979134270764</v>
      </c>
      <c r="C14" s="4">
        <f>'Cohort Analysis'!B15*Dashboard!$B$4</f>
        <v>200</v>
      </c>
      <c r="D14" s="4" cm="1">
        <f t="array" ref="D14">SUMPRODUCT('Cohort Analysis'!$B$3:$B$38*Dashboard!$B$4*Dashboard!$B$6*(1-Dashboard!$B$5+Dashboard!$B$6)^IF(AND(ROW('Cohort Analysis'!$B$3:$B$38)-3&lt;12,ROW('Cohort Analysis'!$B$3:$B$38)-3&lt;=12),12-ROW('Cohort Analysis'!$B$3:$B$38)+3-1,0)*(ROW('Cohort Analysis'!$B$3:$B$38)-3&lt;12))</f>
        <v>37.5</v>
      </c>
      <c r="E14" s="5" cm="1">
        <f t="array" ref="E14">-SUMPRODUCT('Cohort Analysis'!$B$3:$B$38*Dashboard!$B$4*Dashboard!$B$5*(1-Dashboard!$B$5+Dashboard!$B$6)^IF(AND(ROW('Cohort Analysis'!$B$3:$B$38)-3&lt;12,ROW('Cohort Analysis'!$B$3:$B$38)-3&lt;=12),12-ROW('Cohort Analysis'!$B$3:$B$38)+3-1,0)*(ROW('Cohort Analysis'!$B$3:$B$38)-3&lt;12))</f>
        <v>-105.00000000000001</v>
      </c>
      <c r="F14" s="4">
        <f t="shared" si="0"/>
        <v>132.5</v>
      </c>
      <c r="G14" s="6" cm="1">
        <f t="array" ref="G14">SUMPRODUCT('Cohort Analysis'!$B$3:$B$38*(1-Dashboard!$B$5)^IF(ROW('Cohort Analysis'!$B$3:$B$38)-3&lt;=12,12-ROW('Cohort Analysis'!$B$3:$B$38)+3,0)*(ROW('Cohort Analysis'!$B$3:$B$38)-3&lt;=12))</f>
        <v>12.3236204763455</v>
      </c>
    </row>
    <row r="15" spans="1:7" x14ac:dyDescent="0.35">
      <c r="A15" s="70" t="s">
        <v>40</v>
      </c>
      <c r="B15" s="7" cm="1">
        <f t="array" ref="B15">SUMPRODUCT('Cohort Analysis'!$B$3:$B$38*Dashboard!$B$4*(1-Dashboard!$B$5+Dashboard!$B$6)^IF(ROW('Cohort Analysis'!$B$3:$B$38)-3&lt;=13,13-ROW('Cohort Analysis'!$B$3:$B$38)+3,0)*(ROW('Cohort Analysis'!$B$3:$B$38)-3&lt;=13))</f>
        <v>1512.8365073228581</v>
      </c>
      <c r="C15" s="7">
        <f>'Cohort Analysis'!B16*Dashboard!$B$4</f>
        <v>200</v>
      </c>
      <c r="D15" s="7" cm="1">
        <f t="array" ref="D15">SUMPRODUCT('Cohort Analysis'!$B$3:$B$38*Dashboard!$B$4*Dashboard!$B$6*(1-Dashboard!$B$5+Dashboard!$B$6)^IF(AND(ROW('Cohort Analysis'!$B$3:$B$38)-3&lt;13,ROW('Cohort Analysis'!$B$3:$B$38)-3&lt;=13),13-ROW('Cohort Analysis'!$B$3:$B$38)+3-1,0)*(ROW('Cohort Analysis'!$B$3:$B$38)-3&lt;13))</f>
        <v>42.5</v>
      </c>
      <c r="E15" s="8" cm="1">
        <f t="array" ref="E15">-SUMPRODUCT('Cohort Analysis'!$B$3:$B$38*Dashboard!$B$4*Dashboard!$B$5*(1-Dashboard!$B$5+Dashboard!$B$6)^IF(AND(ROW('Cohort Analysis'!$B$3:$B$38)-3&lt;13,ROW('Cohort Analysis'!$B$3:$B$38)-3&lt;=13),13-ROW('Cohort Analysis'!$B$3:$B$38)+3-1,0)*(ROW('Cohort Analysis'!$B$3:$B$38)-3&lt;13))</f>
        <v>-119.00000000000001</v>
      </c>
      <c r="F15" s="7">
        <f t="shared" si="0"/>
        <v>123.49999999999999</v>
      </c>
      <c r="G15" s="9" cm="1">
        <f t="array" ref="G15">SUMPRODUCT('Cohort Analysis'!$B$3:$B$38*(1-Dashboard!$B$5)^IF(ROW('Cohort Analysis'!$B$3:$B$38)-3&lt;=13,13-ROW('Cohort Analysis'!$B$3:$B$38)+3,0)*(ROW('Cohort Analysis'!$B$3:$B$38)-3&lt;=13))</f>
        <v>13.460967043001315</v>
      </c>
    </row>
    <row r="16" spans="1:7" x14ac:dyDescent="0.35">
      <c r="A16" s="70" t="s">
        <v>41</v>
      </c>
      <c r="B16" s="4" cm="1">
        <f t="array" ref="B16">SUMPRODUCT('Cohort Analysis'!$B$3:$B$38*Dashboard!$B$4*(1-Dashboard!$B$5+Dashboard!$B$6)^IF(ROW('Cohort Analysis'!$B$3:$B$38)-3&lt;=14,14-ROW('Cohort Analysis'!$B$3:$B$38)+3,0)*(ROW('Cohort Analysis'!$B$3:$B$38)-3&lt;=14))</f>
        <v>1644.7588644933296</v>
      </c>
      <c r="C16" s="4">
        <f>'Cohort Analysis'!B17*Dashboard!$B$4</f>
        <v>200</v>
      </c>
      <c r="D16" s="4" cm="1">
        <f t="array" ref="D16">SUMPRODUCT('Cohort Analysis'!$B$3:$B$38*Dashboard!$B$4*Dashboard!$B$6*(1-Dashboard!$B$5+Dashboard!$B$6)^IF(AND(ROW('Cohort Analysis'!$B$3:$B$38)-3&lt;14,ROW('Cohort Analysis'!$B$3:$B$38)-3&lt;=14),14-ROW('Cohort Analysis'!$B$3:$B$38)+3-1,0)*(ROW('Cohort Analysis'!$B$3:$B$38)-3&lt;14))</f>
        <v>47.5</v>
      </c>
      <c r="E16" s="5" cm="1">
        <f t="array" ref="E16">-SUMPRODUCT('Cohort Analysis'!$B$3:$B$38*Dashboard!$B$4*Dashboard!$B$5*(1-Dashboard!$B$5+Dashboard!$B$6)^IF(AND(ROW('Cohort Analysis'!$B$3:$B$38)-3&lt;14,ROW('Cohort Analysis'!$B$3:$B$38)-3&lt;=14),14-ROW('Cohort Analysis'!$B$3:$B$38)+3-1,0)*(ROW('Cohort Analysis'!$B$3:$B$38)-3&lt;14))</f>
        <v>-133.00000000000003</v>
      </c>
      <c r="F16" s="4">
        <f t="shared" si="0"/>
        <v>114.49999999999997</v>
      </c>
      <c r="G16" s="6" cm="1">
        <f t="array" ref="G16">SUMPRODUCT('Cohort Analysis'!$B$3:$B$38*(1-Dashboard!$B$5)^IF(ROW('Cohort Analysis'!$B$3:$B$38)-3&lt;=14,14-ROW('Cohort Analysis'!$B$3:$B$38)+3,0)*(ROW('Cohort Analysis'!$B$3:$B$38)-3&lt;=14))</f>
        <v>14.518699349991222</v>
      </c>
    </row>
    <row r="17" spans="1:7" x14ac:dyDescent="0.35">
      <c r="A17" s="70" t="s">
        <v>42</v>
      </c>
      <c r="B17" s="7" cm="1">
        <f t="array" ref="B17">SUMPRODUCT('Cohort Analysis'!$B$3:$B$38*Dashboard!$B$4*(1-Dashboard!$B$5+Dashboard!$B$6)^IF(ROW('Cohort Analysis'!$B$3:$B$38)-3&lt;=15,15-ROW('Cohort Analysis'!$B$3:$B$38)+3,0)*(ROW('Cohort Analysis'!$B$3:$B$38)-3&lt;=15))</f>
        <v>1770.7447155911298</v>
      </c>
      <c r="C17" s="7">
        <f>'Cohort Analysis'!B18*Dashboard!$B$4</f>
        <v>200</v>
      </c>
      <c r="D17" s="7" cm="1">
        <f t="array" ref="D17">SUMPRODUCT('Cohort Analysis'!$B$3:$B$38*Dashboard!$B$4*Dashboard!$B$6*(1-Dashboard!$B$5+Dashboard!$B$6)^IF(AND(ROW('Cohort Analysis'!$B$3:$B$38)-3&lt;15,ROW('Cohort Analysis'!$B$3:$B$38)-3&lt;=15),15-ROW('Cohort Analysis'!$B$3:$B$38)+3-1,0)*(ROW('Cohort Analysis'!$B$3:$B$38)-3&lt;15))</f>
        <v>52.5</v>
      </c>
      <c r="E17" s="8" cm="1">
        <f t="array" ref="E17">-SUMPRODUCT('Cohort Analysis'!$B$3:$B$38*Dashboard!$B$4*Dashboard!$B$5*(1-Dashboard!$B$5+Dashboard!$B$6)^IF(AND(ROW('Cohort Analysis'!$B$3:$B$38)-3&lt;15,ROW('Cohort Analysis'!$B$3:$B$38)-3&lt;=15),15-ROW('Cohort Analysis'!$B$3:$B$38)+3-1,0)*(ROW('Cohort Analysis'!$B$3:$B$38)-3&lt;15))</f>
        <v>-147.00000000000003</v>
      </c>
      <c r="F17" s="7">
        <f t="shared" si="0"/>
        <v>105.49999999999997</v>
      </c>
      <c r="G17" s="9" cm="1">
        <f t="array" ref="G17">SUMPRODUCT('Cohort Analysis'!$B$3:$B$38*(1-Dashboard!$B$5)^IF(ROW('Cohort Analysis'!$B$3:$B$38)-3&lt;=15,15-ROW('Cohort Analysis'!$B$3:$B$38)+3,0)*(ROW('Cohort Analysis'!$B$3:$B$38)-3&lt;=15))</f>
        <v>15.502390395491833</v>
      </c>
    </row>
    <row r="18" spans="1:7" x14ac:dyDescent="0.35">
      <c r="A18" s="70" t="s">
        <v>43</v>
      </c>
      <c r="B18" s="4" cm="1">
        <f t="array" ref="B18">SUMPRODUCT('Cohort Analysis'!$B$3:$B$38*Dashboard!$B$4*(1-Dashboard!$B$5+Dashboard!$B$6)^IF(ROW('Cohort Analysis'!$B$3:$B$38)-3&lt;=16,16-ROW('Cohort Analysis'!$B$3:$B$38)+3,0)*(ROW('Cohort Analysis'!$B$3:$B$38)-3&lt;=16))</f>
        <v>1891.0612033895288</v>
      </c>
      <c r="C18" s="4">
        <f>'Cohort Analysis'!B19*Dashboard!$B$4</f>
        <v>200</v>
      </c>
      <c r="D18" s="4" cm="1">
        <f t="array" ref="D18">SUMPRODUCT('Cohort Analysis'!$B$3:$B$38*Dashboard!$B$4*Dashboard!$B$6*(1-Dashboard!$B$5+Dashboard!$B$6)^IF(AND(ROW('Cohort Analysis'!$B$3:$B$38)-3&lt;16,ROW('Cohort Analysis'!$B$3:$B$38)-3&lt;=16),16-ROW('Cohort Analysis'!$B$3:$B$38)+3-1,0)*(ROW('Cohort Analysis'!$B$3:$B$38)-3&lt;16))</f>
        <v>57.5</v>
      </c>
      <c r="E18" s="5" cm="1">
        <f t="array" ref="E18">-SUMPRODUCT('Cohort Analysis'!$B$3:$B$38*Dashboard!$B$4*Dashboard!$B$5*(1-Dashboard!$B$5+Dashboard!$B$6)^IF(AND(ROW('Cohort Analysis'!$B$3:$B$38)-3&lt;16,ROW('Cohort Analysis'!$B$3:$B$38)-3&lt;=16),16-ROW('Cohort Analysis'!$B$3:$B$38)+3-1,0)*(ROW('Cohort Analysis'!$B$3:$B$38)-3&lt;16))</f>
        <v>-161.00000000000003</v>
      </c>
      <c r="F18" s="4">
        <f t="shared" si="0"/>
        <v>96.499999999999972</v>
      </c>
      <c r="G18" s="6" cm="1">
        <f t="array" ref="G18">SUMPRODUCT('Cohort Analysis'!$B$3:$B$38*(1-Dashboard!$B$5)^IF(ROW('Cohort Analysis'!$B$3:$B$38)-3&lt;=16,16-ROW('Cohort Analysis'!$B$3:$B$38)+3,0)*(ROW('Cohort Analysis'!$B$3:$B$38)-3&lt;=16))</f>
        <v>16.417223067807406</v>
      </c>
    </row>
    <row r="19" spans="1:7" x14ac:dyDescent="0.35">
      <c r="A19" s="70" t="s">
        <v>44</v>
      </c>
      <c r="B19" s="7" cm="1">
        <f t="array" ref="B19">SUMPRODUCT('Cohort Analysis'!$B$3:$B$38*Dashboard!$B$4*(1-Dashboard!$B$5+Dashboard!$B$6)^IF(ROW('Cohort Analysis'!$B$3:$B$38)-3&lt;=17,17-ROW('Cohort Analysis'!$B$3:$B$38)+3,0)*(ROW('Cohort Analysis'!$B$3:$B$38)-3&lt;=17))</f>
        <v>2005.9634492369998</v>
      </c>
      <c r="C19" s="7">
        <f>'Cohort Analysis'!B20*Dashboard!$B$4</f>
        <v>200</v>
      </c>
      <c r="D19" s="7" cm="1">
        <f t="array" ref="D19">SUMPRODUCT('Cohort Analysis'!$B$3:$B$38*Dashboard!$B$4*Dashboard!$B$6*(1-Dashboard!$B$5+Dashboard!$B$6)^IF(AND(ROW('Cohort Analysis'!$B$3:$B$38)-3&lt;17,ROW('Cohort Analysis'!$B$3:$B$38)-3&lt;=17),17-ROW('Cohort Analysis'!$B$3:$B$38)+3-1,0)*(ROW('Cohort Analysis'!$B$3:$B$38)-3&lt;17))</f>
        <v>62.5</v>
      </c>
      <c r="E19" s="8" cm="1">
        <f t="array" ref="E19">-SUMPRODUCT('Cohort Analysis'!$B$3:$B$38*Dashboard!$B$4*Dashboard!$B$5*(1-Dashboard!$B$5+Dashboard!$B$6)^IF(AND(ROW('Cohort Analysis'!$B$3:$B$38)-3&lt;17,ROW('Cohort Analysis'!$B$3:$B$38)-3&lt;=17),17-ROW('Cohort Analysis'!$B$3:$B$38)+3-1,0)*(ROW('Cohort Analysis'!$B$3:$B$38)-3&lt;17))</f>
        <v>-175.00000000000003</v>
      </c>
      <c r="F19" s="7">
        <f t="shared" si="0"/>
        <v>87.499999999999972</v>
      </c>
      <c r="G19" s="9" cm="1">
        <f t="array" ref="G19">SUMPRODUCT('Cohort Analysis'!$B$3:$B$38*(1-Dashboard!$B$5)^IF(ROW('Cohort Analysis'!$B$3:$B$38)-3&lt;=17,17-ROW('Cohort Analysis'!$B$3:$B$38)+3,0)*(ROW('Cohort Analysis'!$B$3:$B$38)-3&lt;=17))</f>
        <v>17.268017453060885</v>
      </c>
    </row>
    <row r="20" spans="1:7" x14ac:dyDescent="0.35">
      <c r="A20" s="70" t="s">
        <v>45</v>
      </c>
      <c r="B20" s="4" cm="1">
        <f t="array" ref="B20">SUMPRODUCT('Cohort Analysis'!$B$3:$B$38*Dashboard!$B$4*(1-Dashboard!$B$5+Dashboard!$B$6)^IF(ROW('Cohort Analysis'!$B$3:$B$38)-3&lt;=18,18-ROW('Cohort Analysis'!$B$3:$B$38)+3,0)*(ROW('Cohort Analysis'!$B$3:$B$38)-3&lt;=18))</f>
        <v>2015.6950940213349</v>
      </c>
      <c r="C20" s="4">
        <f>'Cohort Analysis'!B21*Dashboard!$B$4</f>
        <v>100</v>
      </c>
      <c r="D20" s="4" cm="1">
        <f t="array" ref="D20">SUMPRODUCT('Cohort Analysis'!$B$3:$B$38*Dashboard!$B$4*Dashboard!$B$6*(1-Dashboard!$B$5+Dashboard!$B$6)^IF(AND(ROW('Cohort Analysis'!$B$3:$B$38)-3&lt;18,ROW('Cohort Analysis'!$B$3:$B$38)-3&lt;=18),18-ROW('Cohort Analysis'!$B$3:$B$38)+3-1,0)*(ROW('Cohort Analysis'!$B$3:$B$38)-3&lt;18))</f>
        <v>67.5</v>
      </c>
      <c r="E20" s="5" cm="1">
        <f t="array" ref="E20">-SUMPRODUCT('Cohort Analysis'!$B$3:$B$38*Dashboard!$B$4*Dashboard!$B$5*(1-Dashboard!$B$5+Dashboard!$B$6)^IF(AND(ROW('Cohort Analysis'!$B$3:$B$38)-3&lt;18,ROW('Cohort Analysis'!$B$3:$B$38)-3&lt;=18),18-ROW('Cohort Analysis'!$B$3:$B$38)+3-1,0)*(ROW('Cohort Analysis'!$B$3:$B$38)-3&lt;18))</f>
        <v>-189.00000000000003</v>
      </c>
      <c r="F20" s="4">
        <f t="shared" si="0"/>
        <v>-21.500000000000028</v>
      </c>
      <c r="G20" s="6" cm="1">
        <f t="array" ref="G20">SUMPRODUCT('Cohort Analysis'!$B$3:$B$38*(1-Dashboard!$B$5)^IF(ROW('Cohort Analysis'!$B$3:$B$38)-3&lt;=18,18-ROW('Cohort Analysis'!$B$3:$B$38)+3,0)*(ROW('Cohort Analysis'!$B$3:$B$38)-3&lt;=18))</f>
        <v>17.05925623134662</v>
      </c>
    </row>
    <row r="21" spans="1:7" x14ac:dyDescent="0.35">
      <c r="A21" s="70" t="s">
        <v>46</v>
      </c>
      <c r="B21" s="7" cm="1">
        <f t="array" ref="B21">SUMPRODUCT('Cohort Analysis'!$B$3:$B$38*Dashboard!$B$4*(1-Dashboard!$B$5+Dashboard!$B$6)^IF(ROW('Cohort Analysis'!$B$3:$B$38)-3&lt;=19,19-ROW('Cohort Analysis'!$B$3:$B$38)+3,0)*(ROW('Cohort Analysis'!$B$3:$B$38)-3&lt;=19))</f>
        <v>2024.9888147903746</v>
      </c>
      <c r="C21" s="7">
        <f>'Cohort Analysis'!B22*Dashboard!$B$4</f>
        <v>100</v>
      </c>
      <c r="D21" s="7" cm="1">
        <f t="array" ref="D21">SUMPRODUCT('Cohort Analysis'!$B$3:$B$38*Dashboard!$B$4*Dashboard!$B$6*(1-Dashboard!$B$5+Dashboard!$B$6)^IF(AND(ROW('Cohort Analysis'!$B$3:$B$38)-3&lt;19,ROW('Cohort Analysis'!$B$3:$B$38)-3&lt;=19),19-ROW('Cohort Analysis'!$B$3:$B$38)+3-1,0)*(ROW('Cohort Analysis'!$B$3:$B$38)-3&lt;19))</f>
        <v>70</v>
      </c>
      <c r="E21" s="8" cm="1">
        <f t="array" ref="E21">-SUMPRODUCT('Cohort Analysis'!$B$3:$B$38*Dashboard!$B$4*Dashboard!$B$5*(1-Dashboard!$B$5+Dashboard!$B$6)^IF(AND(ROW('Cohort Analysis'!$B$3:$B$38)-3&lt;19,ROW('Cohort Analysis'!$B$3:$B$38)-3&lt;=19),19-ROW('Cohort Analysis'!$B$3:$B$38)+3-1,0)*(ROW('Cohort Analysis'!$B$3:$B$38)-3&lt;19))</f>
        <v>-196.00000000000003</v>
      </c>
      <c r="F21" s="7">
        <f t="shared" si="0"/>
        <v>-26.000000000000028</v>
      </c>
      <c r="G21" s="9" cm="1">
        <f t="array" ref="G21">SUMPRODUCT('Cohort Analysis'!$B$3:$B$38*(1-Dashboard!$B$5)^IF(ROW('Cohort Analysis'!$B$3:$B$38)-3&lt;=19,19-ROW('Cohort Analysis'!$B$3:$B$38)+3,0)*(ROW('Cohort Analysis'!$B$3:$B$38)-3&lt;=19))</f>
        <v>16.865108295152361</v>
      </c>
    </row>
    <row r="22" spans="1:7" x14ac:dyDescent="0.35">
      <c r="A22" s="70" t="s">
        <v>47</v>
      </c>
      <c r="B22" s="4" cm="1">
        <f t="array" ref="B22">SUMPRODUCT('Cohort Analysis'!$B$3:$B$38*Dashboard!$B$4*(1-Dashboard!$B$5+Dashboard!$B$6)^IF(ROW('Cohort Analysis'!$B$3:$B$38)-3&lt;=20,20-ROW('Cohort Analysis'!$B$3:$B$38)+3,0)*(ROW('Cohort Analysis'!$B$3:$B$38)-3&lt;=20))</f>
        <v>2133.8643181248081</v>
      </c>
      <c r="C22" s="4">
        <f>'Cohort Analysis'!B23*Dashboard!$B$4</f>
        <v>200</v>
      </c>
      <c r="D22" s="4" cm="1">
        <f t="array" ref="D22">SUMPRODUCT('Cohort Analysis'!$B$3:$B$38*Dashboard!$B$4*Dashboard!$B$6*(1-Dashboard!$B$5+Dashboard!$B$6)^IF(AND(ROW('Cohort Analysis'!$B$3:$B$38)-3&lt;20,ROW('Cohort Analysis'!$B$3:$B$38)-3&lt;=20),20-ROW('Cohort Analysis'!$B$3:$B$38)+3-1,0)*(ROW('Cohort Analysis'!$B$3:$B$38)-3&lt;20))</f>
        <v>72.5</v>
      </c>
      <c r="E22" s="5" cm="1">
        <f t="array" ref="E22">-SUMPRODUCT('Cohort Analysis'!$B$3:$B$38*Dashboard!$B$4*Dashboard!$B$5*(1-Dashboard!$B$5+Dashboard!$B$6)^IF(AND(ROW('Cohort Analysis'!$B$3:$B$38)-3&lt;20,ROW('Cohort Analysis'!$B$3:$B$38)-3&lt;=20),20-ROW('Cohort Analysis'!$B$3:$B$38)+3-1,0)*(ROW('Cohort Analysis'!$B$3:$B$38)-3&lt;20))</f>
        <v>-203.00000000000003</v>
      </c>
      <c r="F22" s="4">
        <f t="shared" si="0"/>
        <v>69.499999999999972</v>
      </c>
      <c r="G22" s="6" cm="1">
        <f t="array" ref="G22">SUMPRODUCT('Cohort Analysis'!$B$3:$B$38*(1-Dashboard!$B$5)^IF(ROW('Cohort Analysis'!$B$3:$B$38)-3&lt;=20,20-ROW('Cohort Analysis'!$B$3:$B$38)+3,0)*(ROW('Cohort Analysis'!$B$3:$B$38)-3&lt;=20))</f>
        <v>17.684550714491692</v>
      </c>
    </row>
    <row r="23" spans="1:7" x14ac:dyDescent="0.35">
      <c r="A23" s="70" t="s">
        <v>48</v>
      </c>
      <c r="B23" s="7" cm="1">
        <f t="array" ref="B23">SUMPRODUCT('Cohort Analysis'!$B$3:$B$38*Dashboard!$B$4*(1-Dashboard!$B$5+Dashboard!$B$6)^IF(ROW('Cohort Analysis'!$B$3:$B$38)-3&lt;=21,21-ROW('Cohort Analysis'!$B$3:$B$38)+3,0)*(ROW('Cohort Analysis'!$B$3:$B$38)-3&lt;=21))</f>
        <v>2237.8404238091916</v>
      </c>
      <c r="C23" s="7">
        <f>'Cohort Analysis'!B24*Dashboard!$B$4</f>
        <v>200</v>
      </c>
      <c r="D23" s="7" cm="1">
        <f t="array" ref="D23">SUMPRODUCT('Cohort Analysis'!$B$3:$B$38*Dashboard!$B$4*Dashboard!$B$6*(1-Dashboard!$B$5+Dashboard!$B$6)^IF(AND(ROW('Cohort Analysis'!$B$3:$B$38)-3&lt;21,ROW('Cohort Analysis'!$B$3:$B$38)-3&lt;=21),21-ROW('Cohort Analysis'!$B$3:$B$38)+3-1,0)*(ROW('Cohort Analysis'!$B$3:$B$38)-3&lt;21))</f>
        <v>77.5</v>
      </c>
      <c r="E23" s="8" cm="1">
        <f t="array" ref="E23">-SUMPRODUCT('Cohort Analysis'!$B$3:$B$38*Dashboard!$B$4*Dashboard!$B$5*(1-Dashboard!$B$5+Dashboard!$B$6)^IF(AND(ROW('Cohort Analysis'!$B$3:$B$38)-3&lt;21,ROW('Cohort Analysis'!$B$3:$B$38)-3&lt;=21),21-ROW('Cohort Analysis'!$B$3:$B$38)+3-1,0)*(ROW('Cohort Analysis'!$B$3:$B$38)-3&lt;21))</f>
        <v>-217.00000000000003</v>
      </c>
      <c r="F23" s="7">
        <f t="shared" si="0"/>
        <v>60.499999999999972</v>
      </c>
      <c r="G23" s="9" cm="1">
        <f t="array" ref="G23">SUMPRODUCT('Cohort Analysis'!$B$3:$B$38*(1-Dashboard!$B$5)^IF(ROW('Cohort Analysis'!$B$3:$B$38)-3&lt;=21,21-ROW('Cohort Analysis'!$B$3:$B$38)+3,0)*(ROW('Cohort Analysis'!$B$3:$B$38)-3&lt;=21))</f>
        <v>18.446632164477272</v>
      </c>
    </row>
    <row r="24" spans="1:7" x14ac:dyDescent="0.35">
      <c r="A24" s="70" t="s">
        <v>49</v>
      </c>
      <c r="B24" s="4" cm="1">
        <f t="array" ref="B24">SUMPRODUCT('Cohort Analysis'!$B$3:$B$38*Dashboard!$B$4*(1-Dashboard!$B$5+Dashboard!$B$6)^IF(ROW('Cohort Analysis'!$B$3:$B$38)-3&lt;=22,22-ROW('Cohort Analysis'!$B$3:$B$38)+3,0)*(ROW('Cohort Analysis'!$B$3:$B$38)-3&lt;=22))</f>
        <v>2337.137604737778</v>
      </c>
      <c r="C24" s="4">
        <f>'Cohort Analysis'!B25*Dashboard!$B$4</f>
        <v>200</v>
      </c>
      <c r="D24" s="4" cm="1">
        <f t="array" ref="D24">SUMPRODUCT('Cohort Analysis'!$B$3:$B$38*Dashboard!$B$4*Dashboard!$B$6*(1-Dashboard!$B$5+Dashboard!$B$6)^IF(AND(ROW('Cohort Analysis'!$B$3:$B$38)-3&lt;22,ROW('Cohort Analysis'!$B$3:$B$38)-3&lt;=22),22-ROW('Cohort Analysis'!$B$3:$B$38)+3-1,0)*(ROW('Cohort Analysis'!$B$3:$B$38)-3&lt;22))</f>
        <v>82.5</v>
      </c>
      <c r="E24" s="5" cm="1">
        <f t="array" ref="E24">-SUMPRODUCT('Cohort Analysis'!$B$3:$B$38*Dashboard!$B$4*Dashboard!$B$5*(1-Dashboard!$B$5+Dashboard!$B$6)^IF(AND(ROW('Cohort Analysis'!$B$3:$B$38)-3&lt;22,ROW('Cohort Analysis'!$B$3:$B$38)-3&lt;=22),22-ROW('Cohort Analysis'!$B$3:$B$38)+3-1,0)*(ROW('Cohort Analysis'!$B$3:$B$38)-3&lt;22))</f>
        <v>-231.00000000000003</v>
      </c>
      <c r="F24" s="4">
        <f t="shared" si="0"/>
        <v>51.499999999999972</v>
      </c>
      <c r="G24" s="6" cm="1">
        <f t="array" ref="G24">SUMPRODUCT('Cohort Analysis'!$B$3:$B$38*(1-Dashboard!$B$5)^IF(ROW('Cohort Analysis'!$B$3:$B$38)-3&lt;=22,22-ROW('Cohort Analysis'!$B$3:$B$38)+3,0)*(ROW('Cohort Analysis'!$B$3:$B$38)-3&lt;=22))</f>
        <v>19.155367912963861</v>
      </c>
    </row>
    <row r="25" spans="1:7" x14ac:dyDescent="0.35">
      <c r="A25" s="70" t="s">
        <v>50</v>
      </c>
      <c r="B25" s="7" cm="1">
        <f t="array" ref="B25">SUMPRODUCT('Cohort Analysis'!$B$3:$B$38*Dashboard!$B$4*(1-Dashboard!$B$5+Dashboard!$B$6)^IF(ROW('Cohort Analysis'!$B$3:$B$38)-3&lt;=23,23-ROW('Cohort Analysis'!$B$3:$B$38)+3,0)*(ROW('Cohort Analysis'!$B$3:$B$38)-3&lt;=23))</f>
        <v>2431.9664125245781</v>
      </c>
      <c r="C25" s="7">
        <f>'Cohort Analysis'!B26*Dashboard!$B$4</f>
        <v>200</v>
      </c>
      <c r="D25" s="7" cm="1">
        <f t="array" ref="D25">SUMPRODUCT('Cohort Analysis'!$B$3:$B$38*Dashboard!$B$4*Dashboard!$B$6*(1-Dashboard!$B$5+Dashboard!$B$6)^IF(AND(ROW('Cohort Analysis'!$B$3:$B$38)-3&lt;23,ROW('Cohort Analysis'!$B$3:$B$38)-3&lt;=23),23-ROW('Cohort Analysis'!$B$3:$B$38)+3-1,0)*(ROW('Cohort Analysis'!$B$3:$B$38)-3&lt;23))</f>
        <v>87.5</v>
      </c>
      <c r="E25" s="8" cm="1">
        <f t="array" ref="E25">-SUMPRODUCT('Cohort Analysis'!$B$3:$B$38*Dashboard!$B$4*Dashboard!$B$5*(1-Dashboard!$B$5+Dashboard!$B$6)^IF(AND(ROW('Cohort Analysis'!$B$3:$B$38)-3&lt;23,ROW('Cohort Analysis'!$B$3:$B$38)-3&lt;=23),23-ROW('Cohort Analysis'!$B$3:$B$38)+3-1,0)*(ROW('Cohort Analysis'!$B$3:$B$38)-3&lt;23))</f>
        <v>-245.00000000000003</v>
      </c>
      <c r="F25" s="7">
        <f t="shared" si="0"/>
        <v>42.499999999999972</v>
      </c>
      <c r="G25" s="9" cm="1">
        <f t="array" ref="G25">SUMPRODUCT('Cohort Analysis'!$B$3:$B$38*(1-Dashboard!$B$5)^IF(ROW('Cohort Analysis'!$B$3:$B$38)-3&lt;=23,23-ROW('Cohort Analysis'!$B$3:$B$38)+3,0)*(ROW('Cohort Analysis'!$B$3:$B$38)-3&lt;=23))</f>
        <v>19.814492159056389</v>
      </c>
    </row>
    <row r="26" spans="1:7" x14ac:dyDescent="0.35">
      <c r="A26" s="70" t="s">
        <v>51</v>
      </c>
      <c r="B26" s="4" cm="1">
        <f t="array" ref="B26">SUMPRODUCT('Cohort Analysis'!$B$3:$B$38*Dashboard!$B$4*(1-Dashboard!$B$5+Dashboard!$B$6)^IF(ROW('Cohort Analysis'!$B$3:$B$38)-3&lt;=24,24-ROW('Cohort Analysis'!$B$3:$B$38)+3,0)*(ROW('Cohort Analysis'!$B$3:$B$38)-3&lt;=24))</f>
        <v>2422.5279239609722</v>
      </c>
      <c r="C26" s="4">
        <f>'Cohort Analysis'!B27*Dashboard!$B$4</f>
        <v>100</v>
      </c>
      <c r="D26" s="4" cm="1">
        <f t="array" ref="D26">SUMPRODUCT('Cohort Analysis'!$B$3:$B$38*Dashboard!$B$4*Dashboard!$B$6*(1-Dashboard!$B$5+Dashboard!$B$6)^IF(AND(ROW('Cohort Analysis'!$B$3:$B$38)-3&lt;24,ROW('Cohort Analysis'!$B$3:$B$38)-3&lt;=24),24-ROW('Cohort Analysis'!$B$3:$B$38)+3-1,0)*(ROW('Cohort Analysis'!$B$3:$B$38)-3&lt;24))</f>
        <v>92.5</v>
      </c>
      <c r="E26" s="5" cm="1">
        <f t="array" ref="E26">-SUMPRODUCT('Cohort Analysis'!$B$3:$B$38*Dashboard!$B$4*Dashboard!$B$5*(1-Dashboard!$B$5+Dashboard!$B$6)^IF(AND(ROW('Cohort Analysis'!$B$3:$B$38)-3&lt;24,ROW('Cohort Analysis'!$B$3:$B$38)-3&lt;=24),24-ROW('Cohort Analysis'!$B$3:$B$38)+3-1,0)*(ROW('Cohort Analysis'!$B$3:$B$38)-3&lt;24))</f>
        <v>-259.00000000000006</v>
      </c>
      <c r="F26" s="4">
        <f t="shared" si="0"/>
        <v>-66.500000000000057</v>
      </c>
      <c r="G26" s="6" cm="1">
        <f t="array" ref="G26">SUMPRODUCT('Cohort Analysis'!$B$3:$B$38*(1-Dashboard!$B$5)^IF(ROW('Cohort Analysis'!$B$3:$B$38)-3&lt;=24,24-ROW('Cohort Analysis'!$B$3:$B$38)+3,0)*(ROW('Cohort Analysis'!$B$3:$B$38)-3&lt;=24))</f>
        <v>19.427477707922442</v>
      </c>
    </row>
    <row r="27" spans="1:7" x14ac:dyDescent="0.35">
      <c r="A27" s="70" t="s">
        <v>52</v>
      </c>
      <c r="B27" s="7" cm="1">
        <f t="array" ref="B27">SUMPRODUCT('Cohort Analysis'!$B$3:$B$38*Dashboard!$B$4*(1-Dashboard!$B$5+Dashboard!$B$6)^IF(ROW('Cohort Analysis'!$B$3:$B$38)-3&lt;=25,25-ROW('Cohort Analysis'!$B$3:$B$38)+3,0)*(ROW('Cohort Analysis'!$B$3:$B$38)-3&lt;=25))</f>
        <v>2413.5141673827284</v>
      </c>
      <c r="C27" s="7">
        <f>'Cohort Analysis'!B28*Dashboard!$B$4</f>
        <v>100</v>
      </c>
      <c r="D27" s="7" cm="1">
        <f t="array" ref="D27">SUMPRODUCT('Cohort Analysis'!$B$3:$B$38*Dashboard!$B$4*Dashboard!$B$6*(1-Dashboard!$B$5+Dashboard!$B$6)^IF(AND(ROW('Cohort Analysis'!$B$3:$B$38)-3&lt;25,ROW('Cohort Analysis'!$B$3:$B$38)-3&lt;=25),25-ROW('Cohort Analysis'!$B$3:$B$38)+3-1,0)*(ROW('Cohort Analysis'!$B$3:$B$38)-3&lt;25))</f>
        <v>95</v>
      </c>
      <c r="E27" s="8" cm="1">
        <f t="array" ref="E27">-SUMPRODUCT('Cohort Analysis'!$B$3:$B$38*Dashboard!$B$4*Dashboard!$B$5*(1-Dashboard!$B$5+Dashboard!$B$6)^IF(AND(ROW('Cohort Analysis'!$B$3:$B$38)-3&lt;25,ROW('Cohort Analysis'!$B$3:$B$38)-3&lt;=25),25-ROW('Cohort Analysis'!$B$3:$B$38)+3-1,0)*(ROW('Cohort Analysis'!$B$3:$B$38)-3&lt;25))</f>
        <v>-266.00000000000006</v>
      </c>
      <c r="F27" s="7">
        <f t="shared" si="0"/>
        <v>-71.000000000000057</v>
      </c>
      <c r="G27" s="9" cm="1">
        <f t="array" ref="G27">SUMPRODUCT('Cohort Analysis'!$B$3:$B$38*(1-Dashboard!$B$5)^IF(ROW('Cohort Analysis'!$B$3:$B$38)-3&lt;=25,25-ROW('Cohort Analysis'!$B$3:$B$38)+3,0)*(ROW('Cohort Analysis'!$B$3:$B$38)-3&lt;=25))</f>
        <v>19.067554268367871</v>
      </c>
    </row>
    <row r="28" spans="1:7" x14ac:dyDescent="0.35">
      <c r="A28" s="70" t="s">
        <v>53</v>
      </c>
      <c r="B28" s="4" cm="1">
        <f t="array" ref="B28">SUMPRODUCT('Cohort Analysis'!$B$3:$B$38*Dashboard!$B$4*(1-Dashboard!$B$5+Dashboard!$B$6)^IF(ROW('Cohort Analysis'!$B$3:$B$38)-3&lt;=26,26-ROW('Cohort Analysis'!$B$3:$B$38)+3,0)*(ROW('Cohort Analysis'!$B$3:$B$38)-3&lt;=26))</f>
        <v>2504.9060298505051</v>
      </c>
      <c r="C28" s="4">
        <f>'Cohort Analysis'!B29*Dashboard!$B$4</f>
        <v>200</v>
      </c>
      <c r="D28" s="4" cm="1">
        <f t="array" ref="D28">SUMPRODUCT('Cohort Analysis'!$B$3:$B$38*Dashboard!$B$4*Dashboard!$B$6*(1-Dashboard!$B$5+Dashboard!$B$6)^IF(AND(ROW('Cohort Analysis'!$B$3:$B$38)-3&lt;26,ROW('Cohort Analysis'!$B$3:$B$38)-3&lt;=26),26-ROW('Cohort Analysis'!$B$3:$B$38)+3-1,0)*(ROW('Cohort Analysis'!$B$3:$B$38)-3&lt;26))</f>
        <v>97.5</v>
      </c>
      <c r="E28" s="5" cm="1">
        <f t="array" ref="E28">-SUMPRODUCT('Cohort Analysis'!$B$3:$B$38*Dashboard!$B$4*Dashboard!$B$5*(1-Dashboard!$B$5+Dashboard!$B$6)^IF(AND(ROW('Cohort Analysis'!$B$3:$B$38)-3&lt;26,ROW('Cohort Analysis'!$B$3:$B$38)-3&lt;=26),26-ROW('Cohort Analysis'!$B$3:$B$38)+3-1,0)*(ROW('Cohort Analysis'!$B$3:$B$38)-3&lt;26))</f>
        <v>-273.00000000000006</v>
      </c>
      <c r="F28" s="4">
        <f t="shared" si="0"/>
        <v>24.499999999999943</v>
      </c>
      <c r="G28" s="6" cm="1">
        <f t="array" ref="G28">SUMPRODUCT('Cohort Analysis'!$B$3:$B$38*(1-Dashboard!$B$5)^IF(ROW('Cohort Analysis'!$B$3:$B$38)-3&lt;=26,26-ROW('Cohort Analysis'!$B$3:$B$38)+3,0)*(ROW('Cohort Analysis'!$B$3:$B$38)-3&lt;=26))</f>
        <v>19.732825469582117</v>
      </c>
    </row>
    <row r="29" spans="1:7" x14ac:dyDescent="0.35">
      <c r="A29" s="70" t="s">
        <v>54</v>
      </c>
      <c r="B29" s="7" cm="1">
        <f t="array" ref="B29">SUMPRODUCT('Cohort Analysis'!$B$3:$B$38*Dashboard!$B$4*(1-Dashboard!$B$5+Dashboard!$B$6)^IF(ROW('Cohort Analysis'!$B$3:$B$38)-3&lt;=27,27-ROW('Cohort Analysis'!$B$3:$B$38)+3,0)*(ROW('Cohort Analysis'!$B$3:$B$38)-3&lt;=27))</f>
        <v>2592.1852585072324</v>
      </c>
      <c r="C29" s="7">
        <f>'Cohort Analysis'!B30*Dashboard!$B$4</f>
        <v>200</v>
      </c>
      <c r="D29" s="7" cm="1">
        <f t="array" ref="D29">SUMPRODUCT('Cohort Analysis'!$B$3:$B$38*Dashboard!$B$4*Dashboard!$B$6*(1-Dashboard!$B$5+Dashboard!$B$6)^IF(AND(ROW('Cohort Analysis'!$B$3:$B$38)-3&lt;27,ROW('Cohort Analysis'!$B$3:$B$38)-3&lt;=27),27-ROW('Cohort Analysis'!$B$3:$B$38)+3-1,0)*(ROW('Cohort Analysis'!$B$3:$B$38)-3&lt;27))</f>
        <v>102.5</v>
      </c>
      <c r="E29" s="8" cm="1">
        <f t="array" ref="E29">-SUMPRODUCT('Cohort Analysis'!$B$3:$B$38*Dashboard!$B$4*Dashboard!$B$5*(1-Dashboard!$B$5+Dashboard!$B$6)^IF(AND(ROW('Cohort Analysis'!$B$3:$B$38)-3&lt;27,ROW('Cohort Analysis'!$B$3:$B$38)-3&lt;=27),27-ROW('Cohort Analysis'!$B$3:$B$38)+3-1,0)*(ROW('Cohort Analysis'!$B$3:$B$38)-3&lt;27))</f>
        <v>-287.00000000000006</v>
      </c>
      <c r="F29" s="7">
        <f t="shared" si="0"/>
        <v>15.499999999999943</v>
      </c>
      <c r="G29" s="9" cm="1">
        <f t="array" ref="G29">SUMPRODUCT('Cohort Analysis'!$B$3:$B$38*(1-Dashboard!$B$5)^IF(ROW('Cohort Analysis'!$B$3:$B$38)-3&lt;=27,27-ROW('Cohort Analysis'!$B$3:$B$38)+3,0)*(ROW('Cohort Analysis'!$B$3:$B$38)-3&lt;=27))</f>
        <v>20.351527686711368</v>
      </c>
    </row>
    <row r="30" spans="1:7" x14ac:dyDescent="0.35">
      <c r="A30" s="70" t="s">
        <v>55</v>
      </c>
      <c r="B30" s="4" cm="1">
        <f t="array" ref="B30">SUMPRODUCT('Cohort Analysis'!$B$3:$B$38*Dashboard!$B$4*(1-Dashboard!$B$5+Dashboard!$B$6)^IF(ROW('Cohort Analysis'!$B$3:$B$38)-3&lt;=28,28-ROW('Cohort Analysis'!$B$3:$B$38)+3,0)*(ROW('Cohort Analysis'!$B$3:$B$38)-3&lt;=28))</f>
        <v>2575.5369218744072</v>
      </c>
      <c r="C30" s="4">
        <f>'Cohort Analysis'!B31*Dashboard!$B$4</f>
        <v>100</v>
      </c>
      <c r="D30" s="4" cm="1">
        <f t="array" ref="D30">SUMPRODUCT('Cohort Analysis'!$B$3:$B$38*Dashboard!$B$4*Dashboard!$B$6*(1-Dashboard!$B$5+Dashboard!$B$6)^IF(AND(ROW('Cohort Analysis'!$B$3:$B$38)-3&lt;28,ROW('Cohort Analysis'!$B$3:$B$38)-3&lt;=28),28-ROW('Cohort Analysis'!$B$3:$B$38)+3-1,0)*(ROW('Cohort Analysis'!$B$3:$B$38)-3&lt;28))</f>
        <v>107.5</v>
      </c>
      <c r="E30" s="5" cm="1">
        <f t="array" ref="E30">-SUMPRODUCT('Cohort Analysis'!$B$3:$B$38*Dashboard!$B$4*Dashboard!$B$5*(1-Dashboard!$B$5+Dashboard!$B$6)^IF(AND(ROW('Cohort Analysis'!$B$3:$B$38)-3&lt;28,ROW('Cohort Analysis'!$B$3:$B$38)-3&lt;=28),28-ROW('Cohort Analysis'!$B$3:$B$38)+3-1,0)*(ROW('Cohort Analysis'!$B$3:$B$38)-3&lt;28))</f>
        <v>-301.00000000000006</v>
      </c>
      <c r="F30" s="4">
        <f t="shared" si="0"/>
        <v>-93.500000000000057</v>
      </c>
      <c r="G30" s="6" cm="1">
        <f t="array" ref="G30">SUMPRODUCT('Cohort Analysis'!$B$3:$B$38*(1-Dashboard!$B$5)^IF(ROW('Cohort Analysis'!$B$3:$B$38)-3&lt;=28,28-ROW('Cohort Analysis'!$B$3:$B$38)+3,0)*(ROW('Cohort Analysis'!$B$3:$B$38)-3&lt;=28))</f>
        <v>19.926920748641571</v>
      </c>
    </row>
    <row r="31" spans="1:7" x14ac:dyDescent="0.35">
      <c r="A31" s="70" t="s">
        <v>56</v>
      </c>
      <c r="B31" s="7" cm="1">
        <f t="array" ref="B31">SUMPRODUCT('Cohort Analysis'!$B$3:$B$38*Dashboard!$B$4*(1-Dashboard!$B$5+Dashboard!$B$6)^IF(ROW('Cohort Analysis'!$B$3:$B$38)-3&lt;=29,29-ROW('Cohort Analysis'!$B$3:$B$38)+3,0)*(ROW('Cohort Analysis'!$B$3:$B$38)-3&lt;=29))</f>
        <v>2559.6377603900592</v>
      </c>
      <c r="C31" s="7">
        <f>'Cohort Analysis'!B32*Dashboard!$B$4</f>
        <v>100</v>
      </c>
      <c r="D31" s="7" cm="1">
        <f t="array" ref="D31">SUMPRODUCT('Cohort Analysis'!$B$3:$B$38*Dashboard!$B$4*Dashboard!$B$6*(1-Dashboard!$B$5+Dashboard!$B$6)^IF(AND(ROW('Cohort Analysis'!$B$3:$B$38)-3&lt;29,ROW('Cohort Analysis'!$B$3:$B$38)-3&lt;=29),29-ROW('Cohort Analysis'!$B$3:$B$38)+3-1,0)*(ROW('Cohort Analysis'!$B$3:$B$38)-3&lt;29))</f>
        <v>110</v>
      </c>
      <c r="E31" s="8" cm="1">
        <f t="array" ref="E31">-SUMPRODUCT('Cohort Analysis'!$B$3:$B$38*Dashboard!$B$4*Dashboard!$B$5*(1-Dashboard!$B$5+Dashboard!$B$6)^IF(AND(ROW('Cohort Analysis'!$B$3:$B$38)-3&lt;29,ROW('Cohort Analysis'!$B$3:$B$38)-3&lt;=29),29-ROW('Cohort Analysis'!$B$3:$B$38)+3-1,0)*(ROW('Cohort Analysis'!$B$3:$B$38)-3&lt;29))</f>
        <v>-308.00000000000006</v>
      </c>
      <c r="F31" s="7">
        <f t="shared" si="0"/>
        <v>-98.000000000000057</v>
      </c>
      <c r="G31" s="9" cm="1">
        <f t="array" ref="G31">SUMPRODUCT('Cohort Analysis'!$B$3:$B$38*(1-Dashboard!$B$5)^IF(ROW('Cohort Analysis'!$B$3:$B$38)-3&lt;=29,29-ROW('Cohort Analysis'!$B$3:$B$38)+3,0)*(ROW('Cohort Analysis'!$B$3:$B$38)-3&lt;=29))</f>
        <v>19.532036296236658</v>
      </c>
    </row>
    <row r="32" spans="1:7" x14ac:dyDescent="0.35">
      <c r="A32" s="70" t="s">
        <v>57</v>
      </c>
      <c r="B32" s="4" cm="1">
        <f t="array" ref="B32">SUMPRODUCT('Cohort Analysis'!$B$3:$B$38*Dashboard!$B$4*(1-Dashboard!$B$5+Dashboard!$B$6)^IF(ROW('Cohort Analysis'!$B$3:$B$38)-3&lt;=30,30-ROW('Cohort Analysis'!$B$3:$B$38)+3,0)*(ROW('Cohort Analysis'!$B$3:$B$38)-3&lt;=30))</f>
        <v>2544.454061172506</v>
      </c>
      <c r="C32" s="4">
        <f>'Cohort Analysis'!B33*Dashboard!$B$4</f>
        <v>100</v>
      </c>
      <c r="D32" s="4" cm="1">
        <f t="array" ref="D32">SUMPRODUCT('Cohort Analysis'!$B$3:$B$38*Dashboard!$B$4*Dashboard!$B$6*(1-Dashboard!$B$5+Dashboard!$B$6)^IF(AND(ROW('Cohort Analysis'!$B$3:$B$38)-3&lt;30,ROW('Cohort Analysis'!$B$3:$B$38)-3&lt;=30),30-ROW('Cohort Analysis'!$B$3:$B$38)+3-1,0)*(ROW('Cohort Analysis'!$B$3:$B$38)-3&lt;30))</f>
        <v>112.5</v>
      </c>
      <c r="E32" s="5" cm="1">
        <f t="array" ref="E32">-SUMPRODUCT('Cohort Analysis'!$B$3:$B$38*Dashboard!$B$4*Dashboard!$B$5*(1-Dashboard!$B$5+Dashboard!$B$6)^IF(AND(ROW('Cohort Analysis'!$B$3:$B$38)-3&lt;30,ROW('Cohort Analysis'!$B$3:$B$38)-3&lt;=30),30-ROW('Cohort Analysis'!$B$3:$B$38)+3-1,0)*(ROW('Cohort Analysis'!$B$3:$B$38)-3&lt;30))</f>
        <v>-315.00000000000006</v>
      </c>
      <c r="F32" s="4">
        <f t="shared" si="0"/>
        <v>-102.50000000000006</v>
      </c>
      <c r="G32" s="6" cm="1">
        <f t="array" ref="G32">SUMPRODUCT('Cohort Analysis'!$B$3:$B$38*(1-Dashboard!$B$5)^IF(ROW('Cohort Analysis'!$B$3:$B$38)-3&lt;=30,30-ROW('Cohort Analysis'!$B$3:$B$38)+3,0)*(ROW('Cohort Analysis'!$B$3:$B$38)-3&lt;=30))</f>
        <v>19.164793755500089</v>
      </c>
    </row>
    <row r="33" spans="1:7" x14ac:dyDescent="0.35">
      <c r="A33" s="70" t="s">
        <v>58</v>
      </c>
      <c r="B33" s="7" cm="1">
        <f t="array" ref="B33">SUMPRODUCT('Cohort Analysis'!$B$3:$B$38*Dashboard!$B$4*(1-Dashboard!$B$5+Dashboard!$B$6)^IF(ROW('Cohort Analysis'!$B$3:$B$38)-3&lt;=31,31-ROW('Cohort Analysis'!$B$3:$B$38)+3,0)*(ROW('Cohort Analysis'!$B$3:$B$38)-3&lt;=31))</f>
        <v>2529.9536284197429</v>
      </c>
      <c r="C33" s="7">
        <f>'Cohort Analysis'!B34*Dashboard!$B$4</f>
        <v>100</v>
      </c>
      <c r="D33" s="7" cm="1">
        <f t="array" ref="D33">SUMPRODUCT('Cohort Analysis'!$B$3:$B$38*Dashboard!$B$4*Dashboard!$B$6*(1-Dashboard!$B$5+Dashboard!$B$6)^IF(AND(ROW('Cohort Analysis'!$B$3:$B$38)-3&lt;31,ROW('Cohort Analysis'!$B$3:$B$38)-3&lt;=31),31-ROW('Cohort Analysis'!$B$3:$B$38)+3-1,0)*(ROW('Cohort Analysis'!$B$3:$B$38)-3&lt;31))</f>
        <v>115</v>
      </c>
      <c r="E33" s="8" cm="1">
        <f t="array" ref="E33">-SUMPRODUCT('Cohort Analysis'!$B$3:$B$38*Dashboard!$B$4*Dashboard!$B$5*(1-Dashboard!$B$5+Dashboard!$B$6)^IF(AND(ROW('Cohort Analysis'!$B$3:$B$38)-3&lt;31,ROW('Cohort Analysis'!$B$3:$B$38)-3&lt;=31),31-ROW('Cohort Analysis'!$B$3:$B$38)+3-1,0)*(ROW('Cohort Analysis'!$B$3:$B$38)-3&lt;31))</f>
        <v>-322.00000000000006</v>
      </c>
      <c r="F33" s="7">
        <f t="shared" si="0"/>
        <v>-107.00000000000006</v>
      </c>
      <c r="G33" s="9" cm="1">
        <f t="array" ref="G33">SUMPRODUCT('Cohort Analysis'!$B$3:$B$38*(1-Dashboard!$B$5)^IF(ROW('Cohort Analysis'!$B$3:$B$38)-3&lt;=31,31-ROW('Cohort Analysis'!$B$3:$B$38)+3,0)*(ROW('Cohort Analysis'!$B$3:$B$38)-3&lt;=31))</f>
        <v>18.823258192615082</v>
      </c>
    </row>
    <row r="34" spans="1:7" x14ac:dyDescent="0.35">
      <c r="A34" s="70" t="s">
        <v>59</v>
      </c>
      <c r="B34" s="4" cm="1">
        <f t="array" ref="B34">SUMPRODUCT('Cohort Analysis'!$B$3:$B$38*Dashboard!$B$4*(1-Dashboard!$B$5+Dashboard!$B$6)^IF(ROW('Cohort Analysis'!$B$3:$B$38)-3&lt;=32,32-ROW('Cohort Analysis'!$B$3:$B$38)+3,0)*(ROW('Cohort Analysis'!$B$3:$B$38)-3&lt;=32))</f>
        <v>2516.105715140855</v>
      </c>
      <c r="C34" s="4">
        <f>'Cohort Analysis'!B35*Dashboard!$B$4</f>
        <v>100</v>
      </c>
      <c r="D34" s="4" cm="1">
        <f t="array" ref="D34">SUMPRODUCT('Cohort Analysis'!$B$3:$B$38*Dashboard!$B$4*Dashboard!$B$6*(1-Dashboard!$B$5+Dashboard!$B$6)^IF(AND(ROW('Cohort Analysis'!$B$3:$B$38)-3&lt;32,ROW('Cohort Analysis'!$B$3:$B$38)-3&lt;=32),32-ROW('Cohort Analysis'!$B$3:$B$38)+3-1,0)*(ROW('Cohort Analysis'!$B$3:$B$38)-3&lt;32))</f>
        <v>117.5</v>
      </c>
      <c r="E34" s="5" cm="1">
        <f t="array" ref="E34">-SUMPRODUCT('Cohort Analysis'!$B$3:$B$38*Dashboard!$B$4*Dashboard!$B$5*(1-Dashboard!$B$5+Dashboard!$B$6)^IF(AND(ROW('Cohort Analysis'!$B$3:$B$38)-3&lt;32,ROW('Cohort Analysis'!$B$3:$B$38)-3&lt;=32),32-ROW('Cohort Analysis'!$B$3:$B$38)+3-1,0)*(ROW('Cohort Analysis'!$B$3:$B$38)-3&lt;32))</f>
        <v>-329.00000000000006</v>
      </c>
      <c r="F34" s="4">
        <f t="shared" si="0"/>
        <v>-111.50000000000006</v>
      </c>
      <c r="G34" s="6" cm="1">
        <f t="array" ref="G34">SUMPRODUCT('Cohort Analysis'!$B$3:$B$38*(1-Dashboard!$B$5)^IF(ROW('Cohort Analysis'!$B$3:$B$38)-3&lt;=32,32-ROW('Cohort Analysis'!$B$3:$B$38)+3,0)*(ROW('Cohort Analysis'!$B$3:$B$38)-3&lt;=32))</f>
        <v>18.505630119132029</v>
      </c>
    </row>
    <row r="35" spans="1:7" x14ac:dyDescent="0.35">
      <c r="A35" s="70" t="s">
        <v>60</v>
      </c>
      <c r="B35" s="7" cm="1">
        <f t="array" ref="B35">SUMPRODUCT('Cohort Analysis'!$B$3:$B$38*Dashboard!$B$4*(1-Dashboard!$B$5+Dashboard!$B$6)^IF(ROW('Cohort Analysis'!$B$3:$B$38)-3&lt;=33,33-ROW('Cohort Analysis'!$B$3:$B$38)+3,0)*(ROW('Cohort Analysis'!$B$3:$B$38)-3&lt;=33))</f>
        <v>2502.8809579595163</v>
      </c>
      <c r="C35" s="7">
        <f>'Cohort Analysis'!B36*Dashboard!$B$4</f>
        <v>100</v>
      </c>
      <c r="D35" s="7" cm="1">
        <f t="array" ref="D35">SUMPRODUCT('Cohort Analysis'!$B$3:$B$38*Dashboard!$B$4*Dashboard!$B$6*(1-Dashboard!$B$5+Dashboard!$B$6)^IF(AND(ROW('Cohort Analysis'!$B$3:$B$38)-3&lt;33,ROW('Cohort Analysis'!$B$3:$B$38)-3&lt;=33),33-ROW('Cohort Analysis'!$B$3:$B$38)+3-1,0)*(ROW('Cohort Analysis'!$B$3:$B$38)-3&lt;33))</f>
        <v>120</v>
      </c>
      <c r="E35" s="8" cm="1">
        <f t="array" ref="E35">-SUMPRODUCT('Cohort Analysis'!$B$3:$B$38*Dashboard!$B$4*Dashboard!$B$5*(1-Dashboard!$B$5+Dashboard!$B$6)^IF(AND(ROW('Cohort Analysis'!$B$3:$B$38)-3&lt;33,ROW('Cohort Analysis'!$B$3:$B$38)-3&lt;=33),33-ROW('Cohort Analysis'!$B$3:$B$38)+3-1,0)*(ROW('Cohort Analysis'!$B$3:$B$38)-3&lt;33))</f>
        <v>-336.00000000000006</v>
      </c>
      <c r="F35" s="7">
        <f t="shared" si="0"/>
        <v>-116.00000000000006</v>
      </c>
      <c r="G35" s="9" cm="1">
        <f t="array" ref="G35">SUMPRODUCT('Cohort Analysis'!$B$3:$B$38*(1-Dashboard!$B$5)^IF(ROW('Cohort Analysis'!$B$3:$B$38)-3&lt;=33,33-ROW('Cohort Analysis'!$B$3:$B$38)+3,0)*(ROW('Cohort Analysis'!$B$3:$B$38)-3&lt;=33))</f>
        <v>18.210236010792784</v>
      </c>
    </row>
    <row r="36" spans="1:7" x14ac:dyDescent="0.35">
      <c r="A36" s="70" t="s">
        <v>61</v>
      </c>
      <c r="B36" s="4" cm="1">
        <f t="array" ref="B36">SUMPRODUCT('Cohort Analysis'!$B$3:$B$38*Dashboard!$B$4*(1-Dashboard!$B$5+Dashboard!$B$6)^IF(ROW('Cohort Analysis'!$B$3:$B$38)-3&lt;=34,34-ROW('Cohort Analysis'!$B$3:$B$38)+3,0)*(ROW('Cohort Analysis'!$B$3:$B$38)-3&lt;=34))</f>
        <v>2490.2513148513381</v>
      </c>
      <c r="C36" s="4">
        <f>'Cohort Analysis'!B37*Dashboard!$B$4</f>
        <v>100</v>
      </c>
      <c r="D36" s="4" cm="1">
        <f t="array" ref="D36">SUMPRODUCT('Cohort Analysis'!$B$3:$B$38*Dashboard!$B$4*Dashboard!$B$6*(1-Dashboard!$B$5+Dashboard!$B$6)^IF(AND(ROW('Cohort Analysis'!$B$3:$B$38)-3&lt;34,ROW('Cohort Analysis'!$B$3:$B$38)-3&lt;=34),34-ROW('Cohort Analysis'!$B$3:$B$38)+3-1,0)*(ROW('Cohort Analysis'!$B$3:$B$38)-3&lt;34))</f>
        <v>122.5</v>
      </c>
      <c r="E36" s="5" cm="1">
        <f t="array" ref="E36">-SUMPRODUCT('Cohort Analysis'!$B$3:$B$38*Dashboard!$B$4*Dashboard!$B$5*(1-Dashboard!$B$5+Dashboard!$B$6)^IF(AND(ROW('Cohort Analysis'!$B$3:$B$38)-3&lt;34,ROW('Cohort Analysis'!$B$3:$B$38)-3&lt;=34),34-ROW('Cohort Analysis'!$B$3:$B$38)+3-1,0)*(ROW('Cohort Analysis'!$B$3:$B$38)-3&lt;34))</f>
        <v>-343.00000000000006</v>
      </c>
      <c r="F36" s="4">
        <f t="shared" si="0"/>
        <v>-120.50000000000006</v>
      </c>
      <c r="G36" s="6" cm="1">
        <f t="array" ref="G36">SUMPRODUCT('Cohort Analysis'!$B$3:$B$38*(1-Dashboard!$B$5)^IF(ROW('Cohort Analysis'!$B$3:$B$38)-3&lt;=34,34-ROW('Cohort Analysis'!$B$3:$B$38)+3,0)*(ROW('Cohort Analysis'!$B$3:$B$38)-3&lt;=34))</f>
        <v>17.935519490037283</v>
      </c>
    </row>
    <row r="37" spans="1:7" x14ac:dyDescent="0.35">
      <c r="A37" s="70" t="s">
        <v>70</v>
      </c>
      <c r="B37" s="7" cm="1">
        <f t="array" ref="B37">SUMPRODUCT('Cohort Analysis'!$B$3:$B$38*Dashboard!$B$4*(1-Dashboard!$B$5+Dashboard!$B$6)^IF(ROW('Cohort Analysis'!$B$3:$B$38)-3&lt;=35,35-ROW('Cohort Analysis'!$B$3:$B$38)+3,0)*(ROW('Cohort Analysis'!$B$3:$B$38)-3&lt;=35))</f>
        <v>2378.1900056830277</v>
      </c>
      <c r="C37" s="7">
        <f>'Cohort Analysis'!B38*Dashboard!$B$4</f>
        <v>0</v>
      </c>
      <c r="D37" s="7" cm="1">
        <f t="array" ref="D37">SUMPRODUCT('Cohort Analysis'!$B$3:$B$38*Dashboard!$B$4*Dashboard!$B$6*(1-Dashboard!$B$5+Dashboard!$B$6)^IF(AND(ROW('Cohort Analysis'!$B$3:$B$38)-3&lt;35,ROW('Cohort Analysis'!$B$3:$B$38)-3&lt;=35),35-ROW('Cohort Analysis'!$B$3:$B$38)+3-1,0)*(ROW('Cohort Analysis'!$B$3:$B$38)-3&lt;35))</f>
        <v>125</v>
      </c>
      <c r="E37" s="8" cm="1">
        <f t="array" ref="E37">-SUMPRODUCT('Cohort Analysis'!$B$3:$B$38*Dashboard!$B$4*Dashboard!$B$5*(1-Dashboard!$B$5+Dashboard!$B$6)^IF(AND(ROW('Cohort Analysis'!$B$3:$B$38)-3&lt;35,ROW('Cohort Analysis'!$B$3:$B$38)-3&lt;=35),35-ROW('Cohort Analysis'!$B$3:$B$38)+3-1,0)*(ROW('Cohort Analysis'!$B$3:$B$38)-3&lt;35))</f>
        <v>-350.00000000000006</v>
      </c>
      <c r="F37" s="7">
        <f t="shared" si="0"/>
        <v>-225.00000000000006</v>
      </c>
      <c r="G37" s="9" cm="1">
        <f t="array" ref="G37">SUMPRODUCT('Cohort Analysis'!$B$3:$B$38*(1-Dashboard!$B$5)^IF(ROW('Cohort Analysis'!$B$3:$B$38)-3&lt;=35,35-ROW('Cohort Analysis'!$B$3:$B$38)+3,0)*(ROW('Cohort Analysis'!$B$3:$B$38)-3&lt;=35))</f>
        <v>16.680033125734678</v>
      </c>
    </row>
    <row r="38" spans="1:7" x14ac:dyDescent="0.35">
      <c r="A38" s="71" t="s">
        <v>62</v>
      </c>
      <c r="B38" s="72">
        <f>B37</f>
        <v>2378.1900056830277</v>
      </c>
      <c r="C38" s="72">
        <f>SUM(C2:C37)</f>
        <v>5000</v>
      </c>
      <c r="D38" s="72">
        <f>SUM(D2:D37)</f>
        <v>2247.5</v>
      </c>
      <c r="E38" s="72">
        <f>SUM(E2:E37)</f>
        <v>-6293.0000000000009</v>
      </c>
      <c r="F38" s="72">
        <f>SUM(F2:F37)</f>
        <v>954.5</v>
      </c>
      <c r="G38" s="73">
        <f>G37</f>
        <v>16.680033125734678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Dashboard</vt:lpstr>
      <vt:lpstr>Cohort Analysis</vt:lpstr>
      <vt:lpstr>MRR Cohort</vt:lpstr>
      <vt:lpstr>MRR Waterfall</vt:lpstr>
      <vt:lpstr>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marina.milisic</dc:creator>
  <cp:lastModifiedBy>Hasnaa SAMMOUD</cp:lastModifiedBy>
  <dcterms:created xsi:type="dcterms:W3CDTF">2026-02-27T12:21:48Z</dcterms:created>
  <dcterms:modified xsi:type="dcterms:W3CDTF">2026-03-02T20:59:49Z</dcterms:modified>
</cp:coreProperties>
</file>